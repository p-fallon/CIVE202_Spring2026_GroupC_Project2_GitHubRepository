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Paul Fallon\Documents\School\CIVE 202 - Civil Engineering Analysis II\Project 2\"/>
    </mc:Choice>
  </mc:AlternateContent>
  <xr:revisionPtr revIDLastSave="0" documentId="13_ncr:1_{A00CDDAC-71B0-4B72-90C7-C44357931FA8}"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11" l="1"/>
  <c r="D19" i="11"/>
  <c r="D16" i="11"/>
  <c r="D13" i="11"/>
  <c r="D8" i="11"/>
  <c r="D10" i="11"/>
  <c r="F11" i="11"/>
  <c r="E12" i="11" s="1"/>
  <c r="F12" i="11" s="1"/>
  <c r="E11" i="11"/>
  <c r="H7" i="11"/>
  <c r="F10" i="11" l="1"/>
  <c r="E13" i="11"/>
  <c r="E14" i="11" s="1"/>
  <c r="F14" i="11" s="1"/>
  <c r="E9" i="11" l="1"/>
  <c r="F9" i="11" s="1"/>
  <c r="F8" i="11" s="1"/>
  <c r="E8" i="11"/>
  <c r="E15" i="11"/>
  <c r="F15" i="11" s="1"/>
  <c r="F13" i="11" s="1"/>
  <c r="E16" i="11"/>
  <c r="E17" i="11" s="1"/>
  <c r="F17" i="11" s="1"/>
  <c r="E18" i="11" s="1"/>
  <c r="F18" i="11" s="1"/>
  <c r="E19" i="11" s="1"/>
  <c r="E20" i="11" s="1"/>
  <c r="F20" i="11" s="1"/>
  <c r="E21" i="11" s="1"/>
  <c r="F21" i="11" s="1"/>
  <c r="I5" i="11"/>
  <c r="H31" i="11"/>
  <c r="H30" i="11"/>
  <c r="H13" i="11"/>
  <c r="F16" i="11" l="1"/>
  <c r="H8" i="11"/>
  <c r="H17" i="11"/>
  <c r="F19" i="11"/>
  <c r="H19" i="11" s="1"/>
  <c r="E22" i="11"/>
  <c r="H21" i="11"/>
  <c r="H18" i="11"/>
  <c r="H9" i="11"/>
  <c r="I6" i="11"/>
  <c r="E23" i="11" l="1"/>
  <c r="F23" i="11"/>
  <c r="H10" i="11"/>
  <c r="H20" i="11"/>
  <c r="H14" i="11"/>
  <c r="J5" i="11"/>
  <c r="K5" i="11" s="1"/>
  <c r="L5" i="11" s="1"/>
  <c r="M5" i="11" s="1"/>
  <c r="N5" i="11" s="1"/>
  <c r="O5" i="11" s="1"/>
  <c r="P5" i="11" s="1"/>
  <c r="I4" i="11"/>
  <c r="E24" i="11" l="1"/>
  <c r="F24" i="11" s="1"/>
  <c r="H23" i="11"/>
  <c r="H15" i="11"/>
  <c r="H11" i="11"/>
  <c r="H12" i="11"/>
  <c r="P4" i="11"/>
  <c r="Q5" i="11"/>
  <c r="R5" i="11" s="1"/>
  <c r="S5" i="11" s="1"/>
  <c r="T5" i="11" s="1"/>
  <c r="U5" i="11" s="1"/>
  <c r="V5" i="11" s="1"/>
  <c r="W5" i="11" s="1"/>
  <c r="J6" i="11"/>
  <c r="H24" i="11" l="1"/>
  <c r="F22" i="11"/>
  <c r="H16" i="11"/>
  <c r="W4" i="11"/>
  <c r="X5" i="11"/>
  <c r="Y5" i="11" s="1"/>
  <c r="Z5" i="11" s="1"/>
  <c r="AA5" i="11" s="1"/>
  <c r="AB5" i="11" s="1"/>
  <c r="AC5" i="11" s="1"/>
  <c r="AD5" i="11" s="1"/>
  <c r="K6" i="11"/>
  <c r="E25" i="11" l="1"/>
  <c r="E26" i="11" s="1"/>
  <c r="F26" i="11" s="1"/>
  <c r="H22" i="11"/>
  <c r="AE5" i="11"/>
  <c r="AF5" i="11" s="1"/>
  <c r="AG5" i="11" s="1"/>
  <c r="AH5" i="11" s="1"/>
  <c r="AI5" i="11" s="1"/>
  <c r="AJ5" i="11" s="1"/>
  <c r="AD4" i="11"/>
  <c r="L6" i="11"/>
  <c r="E29" i="11" l="1"/>
  <c r="F29" i="11" s="1"/>
  <c r="E27" i="11"/>
  <c r="F27" i="11" s="1"/>
  <c r="E28" i="11" s="1"/>
  <c r="F25" i="11"/>
  <c r="H25" i="11" s="1"/>
  <c r="AK5" i="11"/>
  <c r="AL5" i="11" s="1"/>
  <c r="AM5" i="11" s="1"/>
  <c r="AN5" i="11" s="1"/>
  <c r="AO5" i="11" s="1"/>
  <c r="AP5" i="11" s="1"/>
  <c r="AQ5" i="11" s="1"/>
  <c r="M6" i="11"/>
  <c r="F28" i="11" l="1"/>
  <c r="H28" i="1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<sst xmlns="http://schemas.openxmlformats.org/spreadsheetml/2006/main" count="65" uniqueCount="55">
  <si>
    <t>Project start:</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</si>
  <si>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</si>
  <si>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</si>
  <si>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</si>
  <si>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</si>
  <si>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</si>
  <si>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</si>
  <si>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</si>
  <si>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</si>
  <si>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</si>
  <si>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</si>
  <si>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</si>
  <si>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</si>
  <si>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</si>
  <si>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</si>
  <si>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</si>
  <si>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</si>
  <si>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</si>
  <si>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</si>
  <si>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</si>
  <si>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</si>
  <si>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</si>
  <si>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</si>
  <si>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</si>
  <si>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Levi Woockman</t>
  </si>
  <si>
    <t>Final Submission</t>
  </si>
  <si>
    <t>Arturo Garcia-Francisco</t>
  </si>
  <si>
    <t>Paul Fallon</t>
  </si>
  <si>
    <t>Project 2: NDOT Concrete Mix Design Automation</t>
  </si>
  <si>
    <t>Group C: Fallon, Woockman, Garcia</t>
  </si>
  <si>
    <t>Task 1: Create Gantt Chart</t>
  </si>
  <si>
    <t>Create task list, timeline, and assignments</t>
  </si>
  <si>
    <t>Task 2: NDOT Excel Workbook Analysis</t>
  </si>
  <si>
    <t>Document all formulas from Mix Design tab</t>
  </si>
  <si>
    <t>Levi Woockman &amp; Paul Fallon</t>
  </si>
  <si>
    <t>Task 3: Create User Input Prompts</t>
  </si>
  <si>
    <t>Outline prompt sequence based on NDOT Excel workbook</t>
  </si>
  <si>
    <t>Download and review NDOT Excel workbook</t>
  </si>
  <si>
    <t>Write Python code for input() prompts</t>
  </si>
  <si>
    <t>Task 4: Create Python Functions</t>
  </si>
  <si>
    <t>Convert Excel formulas to Python functions</t>
  </si>
  <si>
    <t>Test and verify function outputs</t>
  </si>
  <si>
    <t>Task 5: Format Program Outputs</t>
  </si>
  <si>
    <t>Write Python code for output weight chart</t>
  </si>
  <si>
    <t>Implement professional formatting of chart</t>
  </si>
  <si>
    <t>Task 6: Research and Test Mix Scenarios</t>
  </si>
  <si>
    <t>Research four (4) concrete mix scenarios</t>
  </si>
  <si>
    <t>Levi Woockman &amp; Arturo Garcia-Francisco</t>
  </si>
  <si>
    <t>Test scenarios and compare with NDOT Excel workbook</t>
  </si>
  <si>
    <t>Task 7: Documentation and Final Report</t>
  </si>
  <si>
    <t>Creat Jupyter notebook with code and comments</t>
  </si>
  <si>
    <t>Write Annotated Code Document</t>
  </si>
  <si>
    <t>Create GitHub repository with README</t>
  </si>
  <si>
    <t>Write technical report</t>
  </si>
  <si>
    <t>All 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</si>
</sst>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399975585192419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9" borderId="19" xfId="0" applyNumberFormat="1" applyFont="1" applyFill="1" applyBorder="1" applyAlignment="1">
      <alignment horizontal="center" vertical="center"/>
    </xf>
    <xf numFmtId="167" fontId="21" fillId="9" borderId="17" xfId="0" applyNumberFormat="1" applyFont="1" applyFill="1" applyBorder="1" applyAlignment="1">
      <alignment horizontal="center" vertical="center"/>
    </xf>
    <xf numFmtId="167" fontId="21" fillId="9"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0" fontId="4" fillId="0" borderId="11"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4" fillId="0" borderId="10" xfId="0" applyFont="1" applyBorder="1" applyAlignment="1">
      <alignment vertical="center"/>
    </xf>
    <xf numFmtId="0" fontId="4" fillId="0" borderId="9" xfId="0" applyFont="1" applyBorder="1" applyAlignment="1">
      <alignment vertical="center"/>
    </xf>
    <xf numFmtId="0" fontId="19" fillId="7" borderId="8" xfId="12" applyFont="1" applyFill="1" applyBorder="1">
      <alignment horizontal="left" vertical="center" indent="2"/>
    </xf>
    <xf numFmtId="0" fontId="19" fillId="7" borderId="8" xfId="11" applyFont="1" applyFill="1" applyBorder="1" applyAlignment="1">
      <alignment vertical="center"/>
    </xf>
    <xf numFmtId="9" fontId="1" fillId="7" borderId="8" xfId="2" applyFont="1" applyFill="1" applyBorder="1" applyAlignment="1">
      <alignment horizontal="center" vertical="center"/>
    </xf>
    <xf numFmtId="164" fontId="19" fillId="7" borderId="8" xfId="10" applyFont="1" applyFill="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49" fontId="31" fillId="0" borderId="0" xfId="5" applyNumberFormat="1" applyFont="1" applyAlignment="1">
      <alignment horizontal="centerContinuous" vertical="center" wrapText="1"/>
    </xf>
    <xf numFmtId="49" fontId="15" fillId="0" borderId="0" xfId="0" applyNumberFormat="1" applyFont="1" applyAlignment="1">
      <alignment horizontal="centerContinuous" vertical="center" wrapText="1"/>
    </xf>
    <xf numFmtId="49" fontId="14" fillId="0" borderId="0" xfId="0" applyNumberFormat="1" applyFont="1" applyAlignment="1">
      <alignment horizontal="centerContinuous" vertical="center" wrapText="1"/>
    </xf>
    <xf numFmtId="49" fontId="0" fillId="0" borderId="0" xfId="0" applyNumberFormat="1" applyAlignment="1">
      <alignment horizontal="centerContinuous" vertical="center" wrapText="1"/>
    </xf>
    <xf numFmtId="0" fontId="23" fillId="10" borderId="0" xfId="0" applyFont="1" applyFill="1" applyAlignment="1">
      <alignment horizontal="left" vertical="center" indent="1"/>
    </xf>
    <xf numFmtId="0" fontId="19" fillId="10" borderId="0" xfId="11" applyFont="1" applyFill="1" applyBorder="1" applyAlignment="1">
      <alignment vertical="center"/>
    </xf>
    <xf numFmtId="0" fontId="23" fillId="11" borderId="0" xfId="0" applyFont="1" applyFill="1" applyAlignment="1">
      <alignment horizontal="left" vertical="center" indent="1"/>
    </xf>
    <xf numFmtId="0" fontId="19" fillId="11" borderId="0" xfId="11" applyFont="1" applyFill="1" applyBorder="1" applyAlignment="1">
      <alignment vertical="center"/>
    </xf>
    <xf numFmtId="0" fontId="23" fillId="12" borderId="0" xfId="0" applyFont="1" applyFill="1" applyAlignment="1">
      <alignment horizontal="left" vertical="center" indent="1"/>
    </xf>
    <xf numFmtId="0" fontId="19" fillId="12" borderId="0" xfId="11" applyFont="1" applyFill="1" applyBorder="1" applyAlignment="1">
      <alignment vertical="center"/>
    </xf>
    <xf numFmtId="0" fontId="19" fillId="4" borderId="7" xfId="12" applyFont="1" applyFill="1" applyBorder="1">
      <alignment horizontal="left" vertical="center" indent="2"/>
    </xf>
    <xf numFmtId="0" fontId="19" fillId="4" borderId="7" xfId="11" applyFont="1" applyFill="1" applyBorder="1" applyAlignment="1">
      <alignment vertical="center"/>
    </xf>
    <xf numFmtId="9" fontId="1" fillId="4" borderId="7" xfId="2" applyFont="1" applyFill="1" applyBorder="1" applyAlignment="1">
      <alignment horizontal="center" vertical="center"/>
    </xf>
    <xf numFmtId="164" fontId="19" fillId="4" borderId="7" xfId="10" applyFont="1" applyFill="1" applyBorder="1">
      <alignment horizontal="center" vertical="center"/>
    </xf>
    <xf numFmtId="9" fontId="10" fillId="11" borderId="0" xfId="2" applyFont="1" applyFill="1" applyBorder="1" applyAlignment="1">
      <alignment horizontal="center" vertical="center"/>
    </xf>
    <xf numFmtId="164" fontId="20" fillId="11" borderId="0" xfId="0" applyNumberFormat="1" applyFont="1" applyFill="1" applyAlignment="1">
      <alignment horizontal="center" vertical="center"/>
    </xf>
    <xf numFmtId="164" fontId="10" fillId="11" borderId="0" xfId="0" applyNumberFormat="1" applyFont="1" applyFill="1" applyAlignment="1">
      <alignment horizontal="center" vertical="center"/>
    </xf>
    <xf numFmtId="9" fontId="10" fillId="6" borderId="0" xfId="2" applyFont="1" applyFill="1" applyBorder="1" applyAlignment="1">
      <alignment horizontal="center" vertical="center"/>
    </xf>
    <xf numFmtId="164" fontId="20" fillId="6" borderId="0" xfId="0" applyNumberFormat="1" applyFont="1" applyFill="1" applyAlignment="1">
      <alignment horizontal="center" vertical="center"/>
    </xf>
    <xf numFmtId="164" fontId="10" fillId="6" borderId="0" xfId="0" applyNumberFormat="1" applyFont="1" applyFill="1" applyAlignment="1">
      <alignment horizontal="center" vertical="center"/>
    </xf>
    <xf numFmtId="9" fontId="10" fillId="10" borderId="0" xfId="2" applyFont="1" applyFill="1" applyBorder="1" applyAlignment="1">
      <alignment horizontal="center" vertical="center"/>
    </xf>
    <xf numFmtId="164" fontId="20" fillId="10" borderId="0" xfId="0" applyNumberFormat="1" applyFont="1" applyFill="1" applyAlignment="1">
      <alignment horizontal="center" vertical="center"/>
    </xf>
    <xf numFmtId="164" fontId="10" fillId="10" borderId="0" xfId="0" applyNumberFormat="1" applyFont="1" applyFill="1" applyAlignment="1">
      <alignment horizontal="center" vertical="center"/>
    </xf>
    <xf numFmtId="9" fontId="10" fillId="12" borderId="0" xfId="2" applyFont="1" applyFill="1" applyBorder="1" applyAlignment="1">
      <alignment horizontal="center" vertical="center"/>
    </xf>
    <xf numFmtId="164" fontId="20" fillId="12" borderId="0" xfId="0" applyNumberFormat="1" applyFont="1" applyFill="1" applyAlignment="1">
      <alignment horizontal="center" vertical="center"/>
    </xf>
    <xf numFmtId="164" fontId="10" fillId="12" borderId="0" xfId="0" applyNumberFormat="1" applyFont="1" applyFill="1" applyAlignment="1">
      <alignment horizontal="center" vertical="center"/>
    </xf>
    <xf numFmtId="0" fontId="19" fillId="3" borderId="0" xfId="12" applyFont="1" applyFill="1" applyBorder="1">
      <alignment horizontal="left" vertical="center" indent="2"/>
    </xf>
    <xf numFmtId="0" fontId="19" fillId="3" borderId="0" xfId="11" applyFont="1" applyFill="1" applyBorder="1" applyAlignment="1">
      <alignment vertical="center"/>
    </xf>
    <xf numFmtId="9" fontId="1" fillId="3" borderId="0" xfId="2" applyFont="1" applyFill="1" applyBorder="1" applyAlignment="1">
      <alignment horizontal="center" vertical="center"/>
    </xf>
    <xf numFmtId="164" fontId="19" fillId="3" borderId="0" xfId="10" applyFont="1" applyFill="1" applyBorder="1">
      <alignment horizontal="center" vertical="center"/>
    </xf>
    <xf numFmtId="0" fontId="19" fillId="7" borderId="6" xfId="12" applyFont="1" applyFill="1" applyBorder="1">
      <alignment horizontal="left" vertical="center" indent="2"/>
    </xf>
    <xf numFmtId="0" fontId="19" fillId="7" borderId="6" xfId="11" applyFont="1" applyFill="1" applyBorder="1" applyAlignment="1">
      <alignment vertical="center"/>
    </xf>
    <xf numFmtId="9" fontId="1" fillId="7" borderId="6" xfId="2" applyFont="1" applyFill="1" applyBorder="1" applyAlignment="1">
      <alignment horizontal="center" vertical="center"/>
    </xf>
    <xf numFmtId="164" fontId="19" fillId="7" borderId="6" xfId="10" applyFont="1" applyFill="1" applyBorder="1">
      <alignment horizontal="center" vertical="center"/>
    </xf>
    <xf numFmtId="0" fontId="19" fillId="5" borderId="6" xfId="12" applyFont="1" applyFill="1" applyBorder="1">
      <alignment horizontal="left" vertical="center" indent="2"/>
    </xf>
    <xf numFmtId="0" fontId="19" fillId="5" borderId="6" xfId="11" applyFont="1" applyFill="1" applyBorder="1" applyAlignment="1">
      <alignment vertical="center"/>
    </xf>
    <xf numFmtId="9" fontId="1" fillId="5" borderId="6" xfId="2" applyFont="1" applyFill="1" applyBorder="1" applyAlignment="1">
      <alignment horizontal="center" vertical="center"/>
    </xf>
    <xf numFmtId="164" fontId="19" fillId="5" borderId="6" xfId="10" applyFont="1" applyFill="1" applyBorder="1">
      <alignment horizontal="center" vertical="center"/>
    </xf>
    <xf numFmtId="0" fontId="19" fillId="5" borderId="5" xfId="12" applyFont="1" applyFill="1" applyBorder="1">
      <alignment horizontal="left" vertical="center" indent="2"/>
    </xf>
    <xf numFmtId="0" fontId="19" fillId="5" borderId="5" xfId="11" applyFont="1" applyFill="1" applyBorder="1" applyAlignment="1">
      <alignment vertical="center"/>
    </xf>
    <xf numFmtId="9" fontId="1" fillId="5" borderId="5" xfId="2" applyFont="1" applyFill="1" applyBorder="1" applyAlignment="1">
      <alignment horizontal="center" vertical="center"/>
    </xf>
    <xf numFmtId="164" fontId="19" fillId="5" borderId="5" xfId="10" applyFont="1" applyFill="1" applyBorder="1">
      <alignment horizontal="center" vertical="center"/>
    </xf>
    <xf numFmtId="0" fontId="19" fillId="4" borderId="6" xfId="12" applyFont="1" applyFill="1" applyBorder="1">
      <alignment horizontal="left" vertical="center" indent="2"/>
    </xf>
    <xf numFmtId="0" fontId="19" fillId="4" borderId="6" xfId="11" applyFont="1" applyFill="1" applyBorder="1" applyAlignment="1">
      <alignment vertical="center"/>
    </xf>
    <xf numFmtId="9" fontId="1" fillId="4" borderId="6" xfId="2" applyFont="1" applyFill="1" applyBorder="1" applyAlignment="1">
      <alignment horizontal="center" vertical="center"/>
    </xf>
    <xf numFmtId="164" fontId="19" fillId="4" borderId="6" xfId="10" applyFont="1" applyFill="1" applyBorder="1">
      <alignment horizontal="center" vertical="center"/>
    </xf>
    <xf numFmtId="0" fontId="13" fillId="0" borderId="0" xfId="3" applyAlignment="1">
      <alignment wrapText="1"/>
    </xf>
    <xf numFmtId="0" fontId="20" fillId="8"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8" borderId="15" xfId="0" applyFont="1" applyFill="1" applyBorder="1" applyAlignment="1">
      <alignment vertical="center"/>
    </xf>
    <xf numFmtId="0" fontId="4" fillId="2" borderId="20" xfId="0" applyFont="1" applyFill="1" applyBorder="1"/>
    <xf numFmtId="0" fontId="20" fillId="8" borderId="15"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2"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14</xdr:col>
      <xdr:colOff>7937</xdr:colOff>
      <xdr:row>13</xdr:row>
      <xdr:rowOff>63500</xdr:rowOff>
    </xdr:from>
    <xdr:to>
      <xdr:col>15</xdr:col>
      <xdr:colOff>0</xdr:colOff>
      <xdr:row>13</xdr:row>
      <xdr:rowOff>277813</xdr:rowOff>
    </xdr:to>
    <xdr:sp macro="" textlink="">
      <xdr:nvSpPr>
        <xdr:cNvPr id="4" name="Star: 5 Points 3">
          <a:extLst>
            <a:ext uri="{FF2B5EF4-FFF2-40B4-BE49-F238E27FC236}">
              <a16:creationId xmlns:a16="http://schemas.microsoft.com/office/drawing/2014/main" id="{84035FF4-B131-4244-8F91-EF08310DC197}"/>
            </a:ext>
          </a:extLst>
        </xdr:cNvPr>
        <xdr:cNvSpPr/>
      </xdr:nvSpPr>
      <xdr:spPr>
        <a:xfrm>
          <a:off x="8890000" y="5016500"/>
          <a:ext cx="190500" cy="214313"/>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190501</xdr:colOff>
      <xdr:row>17</xdr:row>
      <xdr:rowOff>63500</xdr:rowOff>
    </xdr:from>
    <xdr:to>
      <xdr:col>14</xdr:col>
      <xdr:colOff>182563</xdr:colOff>
      <xdr:row>17</xdr:row>
      <xdr:rowOff>277813</xdr:rowOff>
    </xdr:to>
    <xdr:sp macro="" textlink="">
      <xdr:nvSpPr>
        <xdr:cNvPr id="5" name="Star: 5 Points 4">
          <a:extLst>
            <a:ext uri="{FF2B5EF4-FFF2-40B4-BE49-F238E27FC236}">
              <a16:creationId xmlns:a16="http://schemas.microsoft.com/office/drawing/2014/main" id="{D93A95B4-081B-4686-AB09-8A3CF31CF173}"/>
            </a:ext>
          </a:extLst>
        </xdr:cNvPr>
        <xdr:cNvSpPr/>
      </xdr:nvSpPr>
      <xdr:spPr>
        <a:xfrm>
          <a:off x="8874126" y="6540500"/>
          <a:ext cx="190500" cy="214313"/>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21</xdr:row>
      <xdr:rowOff>0</xdr:rowOff>
    </xdr:from>
    <xdr:to>
      <xdr:col>15</xdr:col>
      <xdr:colOff>190500</xdr:colOff>
      <xdr:row>21</xdr:row>
      <xdr:rowOff>214313</xdr:rowOff>
    </xdr:to>
    <xdr:sp macro="" textlink="">
      <xdr:nvSpPr>
        <xdr:cNvPr id="6" name="Star: 5 Points 5">
          <a:extLst>
            <a:ext uri="{FF2B5EF4-FFF2-40B4-BE49-F238E27FC236}">
              <a16:creationId xmlns:a16="http://schemas.microsoft.com/office/drawing/2014/main" id="{73AD1926-C24B-48A2-9E18-577E926A851D}"/>
            </a:ext>
          </a:extLst>
        </xdr:cNvPr>
        <xdr:cNvSpPr/>
      </xdr:nvSpPr>
      <xdr:spPr>
        <a:xfrm>
          <a:off x="9080500" y="8001000"/>
          <a:ext cx="190500" cy="214313"/>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24</xdr:row>
      <xdr:rowOff>0</xdr:rowOff>
    </xdr:from>
    <xdr:to>
      <xdr:col>16</xdr:col>
      <xdr:colOff>190500</xdr:colOff>
      <xdr:row>24</xdr:row>
      <xdr:rowOff>214313</xdr:rowOff>
    </xdr:to>
    <xdr:sp macro="" textlink="">
      <xdr:nvSpPr>
        <xdr:cNvPr id="8" name="Star: 5 Points 7">
          <a:extLst>
            <a:ext uri="{FF2B5EF4-FFF2-40B4-BE49-F238E27FC236}">
              <a16:creationId xmlns:a16="http://schemas.microsoft.com/office/drawing/2014/main" id="{D5709527-2E2F-46A5-BCB6-4FC463E86616}"/>
            </a:ext>
          </a:extLst>
        </xdr:cNvPr>
        <xdr:cNvSpPr/>
      </xdr:nvSpPr>
      <xdr:spPr>
        <a:xfrm>
          <a:off x="9278938" y="9144000"/>
          <a:ext cx="190500" cy="214313"/>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24765</xdr:colOff>
      <xdr:row>10</xdr:row>
      <xdr:rowOff>88583</xdr:rowOff>
    </xdr:from>
    <xdr:to>
      <xdr:col>12</xdr:col>
      <xdr:colOff>191135</xdr:colOff>
      <xdr:row>10</xdr:row>
      <xdr:rowOff>294958</xdr:rowOff>
    </xdr:to>
    <xdr:sp macro="" textlink="">
      <xdr:nvSpPr>
        <xdr:cNvPr id="12" name="Oval 11">
          <a:extLst>
            <a:ext uri="{FF2B5EF4-FFF2-40B4-BE49-F238E27FC236}">
              <a16:creationId xmlns:a16="http://schemas.microsoft.com/office/drawing/2014/main" id="{18483246-257A-5CAE-BF05-87BFB98058F1}"/>
            </a:ext>
          </a:extLst>
        </xdr:cNvPr>
        <xdr:cNvSpPr/>
      </xdr:nvSpPr>
      <xdr:spPr>
        <a:xfrm>
          <a:off x="9313545" y="3898583"/>
          <a:ext cx="166370" cy="206375"/>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15875</xdr:colOff>
      <xdr:row>10</xdr:row>
      <xdr:rowOff>119062</xdr:rowOff>
    </xdr:from>
    <xdr:to>
      <xdr:col>14</xdr:col>
      <xdr:colOff>7937</xdr:colOff>
      <xdr:row>10</xdr:row>
      <xdr:rowOff>285750</xdr:rowOff>
    </xdr:to>
    <xdr:sp macro="" textlink="">
      <xdr:nvSpPr>
        <xdr:cNvPr id="17" name="Isosceles Triangle 16">
          <a:extLst>
            <a:ext uri="{FF2B5EF4-FFF2-40B4-BE49-F238E27FC236}">
              <a16:creationId xmlns:a16="http://schemas.microsoft.com/office/drawing/2014/main" id="{F4C08B47-E984-55F5-C2AD-895FBFBC5A96}"/>
            </a:ext>
          </a:extLst>
        </xdr:cNvPr>
        <xdr:cNvSpPr/>
      </xdr:nvSpPr>
      <xdr:spPr>
        <a:xfrm>
          <a:off x="8699500" y="3929062"/>
          <a:ext cx="190500" cy="166688"/>
        </a:xfrm>
        <a:prstGeom prst="triangl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0</xdr:colOff>
      <xdr:row>27</xdr:row>
      <xdr:rowOff>0</xdr:rowOff>
    </xdr:from>
    <xdr:to>
      <xdr:col>22</xdr:col>
      <xdr:colOff>190500</xdr:colOff>
      <xdr:row>27</xdr:row>
      <xdr:rowOff>214313</xdr:rowOff>
    </xdr:to>
    <xdr:sp macro="" textlink="">
      <xdr:nvSpPr>
        <xdr:cNvPr id="22" name="Star: 5 Points 21">
          <a:extLst>
            <a:ext uri="{FF2B5EF4-FFF2-40B4-BE49-F238E27FC236}">
              <a16:creationId xmlns:a16="http://schemas.microsoft.com/office/drawing/2014/main" id="{05F084D9-35DD-44F0-A101-F251F85B8DF7}"/>
            </a:ext>
          </a:extLst>
        </xdr:cNvPr>
        <xdr:cNvSpPr/>
      </xdr:nvSpPr>
      <xdr:spPr>
        <a:xfrm>
          <a:off x="10469563" y="10287000"/>
          <a:ext cx="190500" cy="214313"/>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11</xdr:row>
      <xdr:rowOff>71719</xdr:rowOff>
    </xdr:from>
    <xdr:to>
      <xdr:col>14</xdr:col>
      <xdr:colOff>166687</xdr:colOff>
      <xdr:row>11</xdr:row>
      <xdr:rowOff>278094</xdr:rowOff>
    </xdr:to>
    <xdr:sp macro="" textlink="">
      <xdr:nvSpPr>
        <xdr:cNvPr id="25" name="Oval 24">
          <a:extLst>
            <a:ext uri="{FF2B5EF4-FFF2-40B4-BE49-F238E27FC236}">
              <a16:creationId xmlns:a16="http://schemas.microsoft.com/office/drawing/2014/main" id="{D9B27D0D-0770-41AE-AC8B-1FB662557FF0}"/>
            </a:ext>
          </a:extLst>
        </xdr:cNvPr>
        <xdr:cNvSpPr/>
      </xdr:nvSpPr>
      <xdr:spPr>
        <a:xfrm>
          <a:off x="9681882" y="4294095"/>
          <a:ext cx="166687" cy="206375"/>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18</xdr:row>
      <xdr:rowOff>0</xdr:rowOff>
    </xdr:from>
    <xdr:to>
      <xdr:col>15</xdr:col>
      <xdr:colOff>166687</xdr:colOff>
      <xdr:row>18</xdr:row>
      <xdr:rowOff>206375</xdr:rowOff>
    </xdr:to>
    <xdr:sp macro="" textlink="">
      <xdr:nvSpPr>
        <xdr:cNvPr id="26" name="Oval 25">
          <a:extLst>
            <a:ext uri="{FF2B5EF4-FFF2-40B4-BE49-F238E27FC236}">
              <a16:creationId xmlns:a16="http://schemas.microsoft.com/office/drawing/2014/main" id="{2A439140-B467-4DB0-BA4B-27999B9605B3}"/>
            </a:ext>
          </a:extLst>
        </xdr:cNvPr>
        <xdr:cNvSpPr/>
      </xdr:nvSpPr>
      <xdr:spPr>
        <a:xfrm>
          <a:off x="9080500" y="6858000"/>
          <a:ext cx="166687" cy="206375"/>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22</xdr:row>
      <xdr:rowOff>0</xdr:rowOff>
    </xdr:from>
    <xdr:to>
      <xdr:col>16</xdr:col>
      <xdr:colOff>166687</xdr:colOff>
      <xdr:row>22</xdr:row>
      <xdr:rowOff>206375</xdr:rowOff>
    </xdr:to>
    <xdr:sp macro="" textlink="">
      <xdr:nvSpPr>
        <xdr:cNvPr id="27" name="Oval 26">
          <a:extLst>
            <a:ext uri="{FF2B5EF4-FFF2-40B4-BE49-F238E27FC236}">
              <a16:creationId xmlns:a16="http://schemas.microsoft.com/office/drawing/2014/main" id="{BB8C20C6-D397-47CF-AF6C-F6B808287230}"/>
            </a:ext>
          </a:extLst>
        </xdr:cNvPr>
        <xdr:cNvSpPr/>
      </xdr:nvSpPr>
      <xdr:spPr>
        <a:xfrm>
          <a:off x="9278938" y="8382000"/>
          <a:ext cx="166687" cy="206375"/>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25</xdr:row>
      <xdr:rowOff>0</xdr:rowOff>
    </xdr:from>
    <xdr:to>
      <xdr:col>17</xdr:col>
      <xdr:colOff>166687</xdr:colOff>
      <xdr:row>25</xdr:row>
      <xdr:rowOff>206375</xdr:rowOff>
    </xdr:to>
    <xdr:sp macro="" textlink="">
      <xdr:nvSpPr>
        <xdr:cNvPr id="28" name="Oval 27">
          <a:extLst>
            <a:ext uri="{FF2B5EF4-FFF2-40B4-BE49-F238E27FC236}">
              <a16:creationId xmlns:a16="http://schemas.microsoft.com/office/drawing/2014/main" id="{45B62E3B-A608-40A9-847B-E197BECBB8B2}"/>
            </a:ext>
          </a:extLst>
        </xdr:cNvPr>
        <xdr:cNvSpPr/>
      </xdr:nvSpPr>
      <xdr:spPr>
        <a:xfrm>
          <a:off x="9477375" y="9525000"/>
          <a:ext cx="166687" cy="206375"/>
        </a:xfrm>
        <a:prstGeom prst="ellipse">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0</xdr:colOff>
      <xdr:row>26</xdr:row>
      <xdr:rowOff>0</xdr:rowOff>
    </xdr:from>
    <xdr:to>
      <xdr:col>18</xdr:col>
      <xdr:colOff>190500</xdr:colOff>
      <xdr:row>26</xdr:row>
      <xdr:rowOff>166688</xdr:rowOff>
    </xdr:to>
    <xdr:sp macro="" textlink="">
      <xdr:nvSpPr>
        <xdr:cNvPr id="29" name="Isosceles Triangle 28">
          <a:extLst>
            <a:ext uri="{FF2B5EF4-FFF2-40B4-BE49-F238E27FC236}">
              <a16:creationId xmlns:a16="http://schemas.microsoft.com/office/drawing/2014/main" id="{28776BB9-A5FC-4906-92E1-EEB4D1A91B15}"/>
            </a:ext>
          </a:extLst>
        </xdr:cNvPr>
        <xdr:cNvSpPr/>
      </xdr:nvSpPr>
      <xdr:spPr>
        <a:xfrm>
          <a:off x="9675813" y="9906000"/>
          <a:ext cx="190500" cy="166688"/>
        </a:xfrm>
        <a:prstGeom prst="triangl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23</xdr:row>
      <xdr:rowOff>0</xdr:rowOff>
    </xdr:from>
    <xdr:to>
      <xdr:col>17</xdr:col>
      <xdr:colOff>190500</xdr:colOff>
      <xdr:row>23</xdr:row>
      <xdr:rowOff>166688</xdr:rowOff>
    </xdr:to>
    <xdr:sp macro="" textlink="">
      <xdr:nvSpPr>
        <xdr:cNvPr id="30" name="Isosceles Triangle 29">
          <a:extLst>
            <a:ext uri="{FF2B5EF4-FFF2-40B4-BE49-F238E27FC236}">
              <a16:creationId xmlns:a16="http://schemas.microsoft.com/office/drawing/2014/main" id="{E7AAD240-06EE-406C-855C-89B21AF04427}"/>
            </a:ext>
          </a:extLst>
        </xdr:cNvPr>
        <xdr:cNvSpPr/>
      </xdr:nvSpPr>
      <xdr:spPr>
        <a:xfrm>
          <a:off x="9477375" y="8763000"/>
          <a:ext cx="190500" cy="166688"/>
        </a:xfrm>
        <a:prstGeom prst="triangl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19</xdr:row>
      <xdr:rowOff>0</xdr:rowOff>
    </xdr:from>
    <xdr:to>
      <xdr:col>16</xdr:col>
      <xdr:colOff>190500</xdr:colOff>
      <xdr:row>19</xdr:row>
      <xdr:rowOff>166688</xdr:rowOff>
    </xdr:to>
    <xdr:sp macro="" textlink="">
      <xdr:nvSpPr>
        <xdr:cNvPr id="31" name="Isosceles Triangle 30">
          <a:extLst>
            <a:ext uri="{FF2B5EF4-FFF2-40B4-BE49-F238E27FC236}">
              <a16:creationId xmlns:a16="http://schemas.microsoft.com/office/drawing/2014/main" id="{C41AEA07-4F92-4CC2-8FAA-0D3209373DA2}"/>
            </a:ext>
          </a:extLst>
        </xdr:cNvPr>
        <xdr:cNvSpPr/>
      </xdr:nvSpPr>
      <xdr:spPr>
        <a:xfrm>
          <a:off x="9278938" y="7239000"/>
          <a:ext cx="190500" cy="166688"/>
        </a:xfrm>
        <a:prstGeom prst="triangl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15</xdr:row>
      <xdr:rowOff>0</xdr:rowOff>
    </xdr:from>
    <xdr:to>
      <xdr:col>16</xdr:col>
      <xdr:colOff>190500</xdr:colOff>
      <xdr:row>15</xdr:row>
      <xdr:rowOff>166688</xdr:rowOff>
    </xdr:to>
    <xdr:sp macro="" textlink="">
      <xdr:nvSpPr>
        <xdr:cNvPr id="32" name="Isosceles Triangle 31">
          <a:extLst>
            <a:ext uri="{FF2B5EF4-FFF2-40B4-BE49-F238E27FC236}">
              <a16:creationId xmlns:a16="http://schemas.microsoft.com/office/drawing/2014/main" id="{64939D8D-2C20-49ED-A5F7-C3E9E3199264}"/>
            </a:ext>
          </a:extLst>
        </xdr:cNvPr>
        <xdr:cNvSpPr/>
      </xdr:nvSpPr>
      <xdr:spPr>
        <a:xfrm>
          <a:off x="9278938" y="5715000"/>
          <a:ext cx="190500" cy="166688"/>
        </a:xfrm>
        <a:prstGeom prst="triangl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13</xdr:row>
      <xdr:rowOff>0</xdr:rowOff>
    </xdr:from>
    <xdr:to>
      <xdr:col>13</xdr:col>
      <xdr:colOff>15875</xdr:colOff>
      <xdr:row>17</xdr:row>
      <xdr:rowOff>285750</xdr:rowOff>
    </xdr:to>
    <xdr:cxnSp macro="">
      <xdr:nvCxnSpPr>
        <xdr:cNvPr id="39" name="Straight Arrow Connector 38">
          <a:extLst>
            <a:ext uri="{FF2B5EF4-FFF2-40B4-BE49-F238E27FC236}">
              <a16:creationId xmlns:a16="http://schemas.microsoft.com/office/drawing/2014/main" id="{96A17DFD-FE3A-43CC-9C08-023A046DB7EB}"/>
            </a:ext>
          </a:extLst>
        </xdr:cNvPr>
        <xdr:cNvCxnSpPr/>
      </xdr:nvCxnSpPr>
      <xdr:spPr>
        <a:xfrm flipH="1">
          <a:off x="8683625" y="4953000"/>
          <a:ext cx="15875" cy="1809750"/>
        </a:xfrm>
        <a:prstGeom prst="straightConnector1">
          <a:avLst/>
        </a:prstGeom>
        <a:ln>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17</xdr:row>
      <xdr:rowOff>0</xdr:rowOff>
    </xdr:from>
    <xdr:to>
      <xdr:col>13</xdr:col>
      <xdr:colOff>15875</xdr:colOff>
      <xdr:row>21</xdr:row>
      <xdr:rowOff>285750</xdr:rowOff>
    </xdr:to>
    <xdr:cxnSp macro="">
      <xdr:nvCxnSpPr>
        <xdr:cNvPr id="40" name="Straight Arrow Connector 39">
          <a:extLst>
            <a:ext uri="{FF2B5EF4-FFF2-40B4-BE49-F238E27FC236}">
              <a16:creationId xmlns:a16="http://schemas.microsoft.com/office/drawing/2014/main" id="{6255991E-58D7-4F8E-B3F2-CFF3634D3FAB}"/>
            </a:ext>
          </a:extLst>
        </xdr:cNvPr>
        <xdr:cNvCxnSpPr/>
      </xdr:nvCxnSpPr>
      <xdr:spPr>
        <a:xfrm flipH="1">
          <a:off x="8683625" y="6477000"/>
          <a:ext cx="15875" cy="1809750"/>
        </a:xfrm>
        <a:prstGeom prst="straightConnector1">
          <a:avLst/>
        </a:prstGeom>
        <a:ln>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15875</xdr:colOff>
      <xdr:row>21</xdr:row>
      <xdr:rowOff>0</xdr:rowOff>
    </xdr:from>
    <xdr:to>
      <xdr:col>14</xdr:col>
      <xdr:colOff>47625</xdr:colOff>
      <xdr:row>24</xdr:row>
      <xdr:rowOff>190500</xdr:rowOff>
    </xdr:to>
    <xdr:cxnSp macro="">
      <xdr:nvCxnSpPr>
        <xdr:cNvPr id="41" name="Straight Arrow Connector 40">
          <a:extLst>
            <a:ext uri="{FF2B5EF4-FFF2-40B4-BE49-F238E27FC236}">
              <a16:creationId xmlns:a16="http://schemas.microsoft.com/office/drawing/2014/main" id="{B3D7DBE0-640E-49AD-AC1B-6621AA51057F}"/>
            </a:ext>
          </a:extLst>
        </xdr:cNvPr>
        <xdr:cNvCxnSpPr/>
      </xdr:nvCxnSpPr>
      <xdr:spPr>
        <a:xfrm>
          <a:off x="8897938" y="8001000"/>
          <a:ext cx="31750" cy="1333500"/>
        </a:xfrm>
        <a:prstGeom prst="straightConnector1">
          <a:avLst/>
        </a:prstGeom>
        <a:ln>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15875</xdr:colOff>
      <xdr:row>24</xdr:row>
      <xdr:rowOff>0</xdr:rowOff>
    </xdr:from>
    <xdr:to>
      <xdr:col>15</xdr:col>
      <xdr:colOff>23813</xdr:colOff>
      <xdr:row>27</xdr:row>
      <xdr:rowOff>198438</xdr:rowOff>
    </xdr:to>
    <xdr:cxnSp macro="">
      <xdr:nvCxnSpPr>
        <xdr:cNvPr id="43" name="Straight Arrow Connector 42">
          <a:extLst>
            <a:ext uri="{FF2B5EF4-FFF2-40B4-BE49-F238E27FC236}">
              <a16:creationId xmlns:a16="http://schemas.microsoft.com/office/drawing/2014/main" id="{DB2E4ED1-B8BB-4052-A67C-F6B54CFE8524}"/>
            </a:ext>
          </a:extLst>
        </xdr:cNvPr>
        <xdr:cNvCxnSpPr/>
      </xdr:nvCxnSpPr>
      <xdr:spPr>
        <a:xfrm>
          <a:off x="9096375" y="9144000"/>
          <a:ext cx="7938" cy="1341438"/>
        </a:xfrm>
        <a:prstGeom prst="straightConnector1">
          <a:avLst/>
        </a:prstGeom>
        <a:ln>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27</xdr:row>
      <xdr:rowOff>222250</xdr:rowOff>
    </xdr:from>
    <xdr:to>
      <xdr:col>21</xdr:col>
      <xdr:colOff>174625</xdr:colOff>
      <xdr:row>27</xdr:row>
      <xdr:rowOff>222250</xdr:rowOff>
    </xdr:to>
    <xdr:cxnSp macro="">
      <xdr:nvCxnSpPr>
        <xdr:cNvPr id="52" name="Straight Arrow Connector 51">
          <a:extLst>
            <a:ext uri="{FF2B5EF4-FFF2-40B4-BE49-F238E27FC236}">
              <a16:creationId xmlns:a16="http://schemas.microsoft.com/office/drawing/2014/main" id="{7AF69A8E-7169-4BBA-AFD6-B2F12485983C}"/>
            </a:ext>
          </a:extLst>
        </xdr:cNvPr>
        <xdr:cNvCxnSpPr/>
      </xdr:nvCxnSpPr>
      <xdr:spPr>
        <a:xfrm>
          <a:off x="9080500" y="10509250"/>
          <a:ext cx="1365250" cy="0"/>
        </a:xfrm>
        <a:prstGeom prst="straightConnector1">
          <a:avLst/>
        </a:prstGeom>
        <a:ln>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15875</xdr:colOff>
      <xdr:row>21</xdr:row>
      <xdr:rowOff>150813</xdr:rowOff>
    </xdr:from>
    <xdr:to>
      <xdr:col>15</xdr:col>
      <xdr:colOff>95250</xdr:colOff>
      <xdr:row>21</xdr:row>
      <xdr:rowOff>150813</xdr:rowOff>
    </xdr:to>
    <xdr:cxnSp macro="">
      <xdr:nvCxnSpPr>
        <xdr:cNvPr id="55" name="Straight Arrow Connector 54">
          <a:extLst>
            <a:ext uri="{FF2B5EF4-FFF2-40B4-BE49-F238E27FC236}">
              <a16:creationId xmlns:a16="http://schemas.microsoft.com/office/drawing/2014/main" id="{DFA05684-A6FB-4975-B404-E0869C3B290D}"/>
            </a:ext>
          </a:extLst>
        </xdr:cNvPr>
        <xdr:cNvCxnSpPr/>
      </xdr:nvCxnSpPr>
      <xdr:spPr>
        <a:xfrm>
          <a:off x="8699500" y="8151813"/>
          <a:ext cx="476250" cy="0"/>
        </a:xfrm>
        <a:prstGeom prst="straightConnector1">
          <a:avLst/>
        </a:prstGeom>
        <a:ln>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158750</xdr:colOff>
      <xdr:row>17</xdr:row>
      <xdr:rowOff>230187</xdr:rowOff>
    </xdr:from>
    <xdr:to>
      <xdr:col>14</xdr:col>
      <xdr:colOff>146181</xdr:colOff>
      <xdr:row>17</xdr:row>
      <xdr:rowOff>277812</xdr:rowOff>
    </xdr:to>
    <xdr:cxnSp macro="">
      <xdr:nvCxnSpPr>
        <xdr:cNvPr id="56" name="Straight Arrow Connector 55">
          <a:extLst>
            <a:ext uri="{FF2B5EF4-FFF2-40B4-BE49-F238E27FC236}">
              <a16:creationId xmlns:a16="http://schemas.microsoft.com/office/drawing/2014/main" id="{6FBAF625-FD8A-46B2-A6DD-3D4F19AEA709}"/>
            </a:ext>
          </a:extLst>
        </xdr:cNvPr>
        <xdr:cNvCxnSpPr>
          <a:endCxn id="5" idx="3"/>
        </xdr:cNvCxnSpPr>
      </xdr:nvCxnSpPr>
      <xdr:spPr>
        <a:xfrm>
          <a:off x="8643938" y="6707187"/>
          <a:ext cx="384306" cy="47625"/>
        </a:xfrm>
        <a:prstGeom prst="straightConnector1">
          <a:avLst/>
        </a:prstGeom>
        <a:ln>
          <a:solidFill>
            <a:schemeClr val="accent5"/>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106680</xdr:colOff>
      <xdr:row>10</xdr:row>
      <xdr:rowOff>291148</xdr:rowOff>
    </xdr:from>
    <xdr:to>
      <xdr:col>12</xdr:col>
      <xdr:colOff>110807</xdr:colOff>
      <xdr:row>11</xdr:row>
      <xdr:rowOff>251460</xdr:rowOff>
    </xdr:to>
    <xdr:cxnSp macro="">
      <xdr:nvCxnSpPr>
        <xdr:cNvPr id="59" name="Straight Arrow Connector 58">
          <a:extLst>
            <a:ext uri="{FF2B5EF4-FFF2-40B4-BE49-F238E27FC236}">
              <a16:creationId xmlns:a16="http://schemas.microsoft.com/office/drawing/2014/main" id="{08262C52-5FB4-47D0-9B06-47FB7CCF09C9}"/>
            </a:ext>
          </a:extLst>
        </xdr:cNvPr>
        <xdr:cNvCxnSpPr/>
      </xdr:nvCxnSpPr>
      <xdr:spPr>
        <a:xfrm flipH="1">
          <a:off x="9395460" y="4101148"/>
          <a:ext cx="4127" cy="341312"/>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116542</xdr:colOff>
      <xdr:row>14</xdr:row>
      <xdr:rowOff>8964</xdr:rowOff>
    </xdr:from>
    <xdr:to>
      <xdr:col>14</xdr:col>
      <xdr:colOff>124479</xdr:colOff>
      <xdr:row>18</xdr:row>
      <xdr:rowOff>112152</xdr:rowOff>
    </xdr:to>
    <xdr:cxnSp macro="">
      <xdr:nvCxnSpPr>
        <xdr:cNvPr id="62" name="Straight Arrow Connector 61">
          <a:extLst>
            <a:ext uri="{FF2B5EF4-FFF2-40B4-BE49-F238E27FC236}">
              <a16:creationId xmlns:a16="http://schemas.microsoft.com/office/drawing/2014/main" id="{6314E148-9A70-4A77-943A-6293890081ED}"/>
            </a:ext>
          </a:extLst>
        </xdr:cNvPr>
        <xdr:cNvCxnSpPr/>
      </xdr:nvCxnSpPr>
      <xdr:spPr>
        <a:xfrm flipH="1">
          <a:off x="9798424" y="5387788"/>
          <a:ext cx="7937" cy="1645117"/>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47625</xdr:colOff>
      <xdr:row>18</xdr:row>
      <xdr:rowOff>0</xdr:rowOff>
    </xdr:from>
    <xdr:to>
      <xdr:col>15</xdr:col>
      <xdr:colOff>63499</xdr:colOff>
      <xdr:row>22</xdr:row>
      <xdr:rowOff>142875</xdr:rowOff>
    </xdr:to>
    <xdr:cxnSp macro="">
      <xdr:nvCxnSpPr>
        <xdr:cNvPr id="64" name="Straight Arrow Connector 63">
          <a:extLst>
            <a:ext uri="{FF2B5EF4-FFF2-40B4-BE49-F238E27FC236}">
              <a16:creationId xmlns:a16="http://schemas.microsoft.com/office/drawing/2014/main" id="{4C0FDAC0-9E82-4B02-A5EF-D3E56A9701A9}"/>
            </a:ext>
          </a:extLst>
        </xdr:cNvPr>
        <xdr:cNvCxnSpPr/>
      </xdr:nvCxnSpPr>
      <xdr:spPr>
        <a:xfrm flipH="1">
          <a:off x="9128125" y="6858000"/>
          <a:ext cx="15874" cy="1666875"/>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79374</xdr:colOff>
      <xdr:row>22</xdr:row>
      <xdr:rowOff>0</xdr:rowOff>
    </xdr:from>
    <xdr:to>
      <xdr:col>16</xdr:col>
      <xdr:colOff>111125</xdr:colOff>
      <xdr:row>25</xdr:row>
      <xdr:rowOff>142875</xdr:rowOff>
    </xdr:to>
    <xdr:cxnSp macro="">
      <xdr:nvCxnSpPr>
        <xdr:cNvPr id="65" name="Straight Arrow Connector 64">
          <a:extLst>
            <a:ext uri="{FF2B5EF4-FFF2-40B4-BE49-F238E27FC236}">
              <a16:creationId xmlns:a16="http://schemas.microsoft.com/office/drawing/2014/main" id="{34BD43FF-5B9B-402F-B019-525B073592CC}"/>
            </a:ext>
          </a:extLst>
        </xdr:cNvPr>
        <xdr:cNvCxnSpPr/>
      </xdr:nvCxnSpPr>
      <xdr:spPr>
        <a:xfrm>
          <a:off x="9358312" y="8382000"/>
          <a:ext cx="31751" cy="1285875"/>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190500</xdr:colOff>
      <xdr:row>25</xdr:row>
      <xdr:rowOff>0</xdr:rowOff>
    </xdr:from>
    <xdr:to>
      <xdr:col>16</xdr:col>
      <xdr:colOff>0</xdr:colOff>
      <xdr:row>27</xdr:row>
      <xdr:rowOff>142875</xdr:rowOff>
    </xdr:to>
    <xdr:cxnSp macro="">
      <xdr:nvCxnSpPr>
        <xdr:cNvPr id="68" name="Straight Arrow Connector 67">
          <a:extLst>
            <a:ext uri="{FF2B5EF4-FFF2-40B4-BE49-F238E27FC236}">
              <a16:creationId xmlns:a16="http://schemas.microsoft.com/office/drawing/2014/main" id="{29F6CA4E-CF3D-476F-AA6A-326238B99617}"/>
            </a:ext>
          </a:extLst>
        </xdr:cNvPr>
        <xdr:cNvCxnSpPr/>
      </xdr:nvCxnSpPr>
      <xdr:spPr>
        <a:xfrm flipH="1">
          <a:off x="9271000" y="9525000"/>
          <a:ext cx="7938" cy="904875"/>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95250</xdr:colOff>
      <xdr:row>10</xdr:row>
      <xdr:rowOff>285750</xdr:rowOff>
    </xdr:from>
    <xdr:to>
      <xdr:col>13</xdr:col>
      <xdr:colOff>111125</xdr:colOff>
      <xdr:row>15</xdr:row>
      <xdr:rowOff>182563</xdr:rowOff>
    </xdr:to>
    <xdr:cxnSp macro="">
      <xdr:nvCxnSpPr>
        <xdr:cNvPr id="71" name="Straight Arrow Connector 70">
          <a:extLst>
            <a:ext uri="{FF2B5EF4-FFF2-40B4-BE49-F238E27FC236}">
              <a16:creationId xmlns:a16="http://schemas.microsoft.com/office/drawing/2014/main" id="{5350566F-4843-75D4-3A11-D5D05FC0F470}"/>
            </a:ext>
          </a:extLst>
        </xdr:cNvPr>
        <xdr:cNvCxnSpPr>
          <a:stCxn id="17" idx="3"/>
        </xdr:cNvCxnSpPr>
      </xdr:nvCxnSpPr>
      <xdr:spPr>
        <a:xfrm flipH="1">
          <a:off x="8778875" y="4095750"/>
          <a:ext cx="15875" cy="18018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15</xdr:row>
      <xdr:rowOff>0</xdr:rowOff>
    </xdr:from>
    <xdr:to>
      <xdr:col>15</xdr:col>
      <xdr:colOff>15875</xdr:colOff>
      <xdr:row>19</xdr:row>
      <xdr:rowOff>277813</xdr:rowOff>
    </xdr:to>
    <xdr:cxnSp macro="">
      <xdr:nvCxnSpPr>
        <xdr:cNvPr id="73" name="Straight Arrow Connector 72">
          <a:extLst>
            <a:ext uri="{FF2B5EF4-FFF2-40B4-BE49-F238E27FC236}">
              <a16:creationId xmlns:a16="http://schemas.microsoft.com/office/drawing/2014/main" id="{BE2B1D6C-CE6A-4D5D-9AB0-E16251CAE75B}"/>
            </a:ext>
          </a:extLst>
        </xdr:cNvPr>
        <xdr:cNvCxnSpPr/>
      </xdr:nvCxnSpPr>
      <xdr:spPr>
        <a:xfrm flipH="1">
          <a:off x="9080500" y="5715000"/>
          <a:ext cx="15875" cy="18018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19</xdr:row>
      <xdr:rowOff>0</xdr:rowOff>
    </xdr:from>
    <xdr:to>
      <xdr:col>16</xdr:col>
      <xdr:colOff>15875</xdr:colOff>
      <xdr:row>23</xdr:row>
      <xdr:rowOff>277813</xdr:rowOff>
    </xdr:to>
    <xdr:cxnSp macro="">
      <xdr:nvCxnSpPr>
        <xdr:cNvPr id="74" name="Straight Arrow Connector 73">
          <a:extLst>
            <a:ext uri="{FF2B5EF4-FFF2-40B4-BE49-F238E27FC236}">
              <a16:creationId xmlns:a16="http://schemas.microsoft.com/office/drawing/2014/main" id="{EA609106-A9A5-4E67-ADD5-8D54284DA9DD}"/>
            </a:ext>
          </a:extLst>
        </xdr:cNvPr>
        <xdr:cNvCxnSpPr/>
      </xdr:nvCxnSpPr>
      <xdr:spPr>
        <a:xfrm flipH="1">
          <a:off x="9278938" y="7239000"/>
          <a:ext cx="15875" cy="18018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15875</xdr:colOff>
      <xdr:row>23</xdr:row>
      <xdr:rowOff>0</xdr:rowOff>
    </xdr:from>
    <xdr:to>
      <xdr:col>17</xdr:col>
      <xdr:colOff>39688</xdr:colOff>
      <xdr:row>26</xdr:row>
      <xdr:rowOff>79375</xdr:rowOff>
    </xdr:to>
    <xdr:cxnSp macro="">
      <xdr:nvCxnSpPr>
        <xdr:cNvPr id="75" name="Straight Arrow Connector 74">
          <a:extLst>
            <a:ext uri="{FF2B5EF4-FFF2-40B4-BE49-F238E27FC236}">
              <a16:creationId xmlns:a16="http://schemas.microsoft.com/office/drawing/2014/main" id="{D7A82676-3F83-471A-9618-0BEE5A8B28FD}"/>
            </a:ext>
          </a:extLst>
        </xdr:cNvPr>
        <xdr:cNvCxnSpPr/>
      </xdr:nvCxnSpPr>
      <xdr:spPr>
        <a:xfrm>
          <a:off x="9493250" y="8763000"/>
          <a:ext cx="23813" cy="1222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7937</xdr:colOff>
      <xdr:row>26</xdr:row>
      <xdr:rowOff>0</xdr:rowOff>
    </xdr:from>
    <xdr:to>
      <xdr:col>18</xdr:col>
      <xdr:colOff>15875</xdr:colOff>
      <xdr:row>27</xdr:row>
      <xdr:rowOff>206375</xdr:rowOff>
    </xdr:to>
    <xdr:cxnSp macro="">
      <xdr:nvCxnSpPr>
        <xdr:cNvPr id="77" name="Straight Arrow Connector 76">
          <a:extLst>
            <a:ext uri="{FF2B5EF4-FFF2-40B4-BE49-F238E27FC236}">
              <a16:creationId xmlns:a16="http://schemas.microsoft.com/office/drawing/2014/main" id="{7D15A0FB-C6BE-4F2D-B523-8DE13EC71083}"/>
            </a:ext>
          </a:extLst>
        </xdr:cNvPr>
        <xdr:cNvCxnSpPr/>
      </xdr:nvCxnSpPr>
      <xdr:spPr>
        <a:xfrm flipH="1">
          <a:off x="9683750" y="9906000"/>
          <a:ext cx="7938" cy="587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79375</xdr:colOff>
      <xdr:row>15</xdr:row>
      <xdr:rowOff>198437</xdr:rowOff>
    </xdr:from>
    <xdr:to>
      <xdr:col>16</xdr:col>
      <xdr:colOff>142875</xdr:colOff>
      <xdr:row>15</xdr:row>
      <xdr:rowOff>206375</xdr:rowOff>
    </xdr:to>
    <xdr:cxnSp macro="">
      <xdr:nvCxnSpPr>
        <xdr:cNvPr id="82" name="Straight Arrow Connector 81">
          <a:extLst>
            <a:ext uri="{FF2B5EF4-FFF2-40B4-BE49-F238E27FC236}">
              <a16:creationId xmlns:a16="http://schemas.microsoft.com/office/drawing/2014/main" id="{EFA2CF0A-4395-48AD-8622-3949B26ACB85}"/>
            </a:ext>
          </a:extLst>
        </xdr:cNvPr>
        <xdr:cNvCxnSpPr/>
      </xdr:nvCxnSpPr>
      <xdr:spPr>
        <a:xfrm>
          <a:off x="8763000" y="5913437"/>
          <a:ext cx="658813"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119062</xdr:colOff>
      <xdr:row>19</xdr:row>
      <xdr:rowOff>325438</xdr:rowOff>
    </xdr:from>
    <xdr:to>
      <xdr:col>16</xdr:col>
      <xdr:colOff>103187</xdr:colOff>
      <xdr:row>19</xdr:row>
      <xdr:rowOff>349250</xdr:rowOff>
    </xdr:to>
    <xdr:cxnSp macro="">
      <xdr:nvCxnSpPr>
        <xdr:cNvPr id="83" name="Straight Arrow Connector 82">
          <a:extLst>
            <a:ext uri="{FF2B5EF4-FFF2-40B4-BE49-F238E27FC236}">
              <a16:creationId xmlns:a16="http://schemas.microsoft.com/office/drawing/2014/main" id="{F94757AB-6E8D-43A6-80BE-22618C4792E5}"/>
            </a:ext>
          </a:extLst>
        </xdr:cNvPr>
        <xdr:cNvCxnSpPr/>
      </xdr:nvCxnSpPr>
      <xdr:spPr>
        <a:xfrm>
          <a:off x="9001125" y="7564438"/>
          <a:ext cx="381000" cy="238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190500</xdr:colOff>
      <xdr:row>23</xdr:row>
      <xdr:rowOff>269875</xdr:rowOff>
    </xdr:from>
    <xdr:to>
      <xdr:col>17</xdr:col>
      <xdr:colOff>111125</xdr:colOff>
      <xdr:row>23</xdr:row>
      <xdr:rowOff>277813</xdr:rowOff>
    </xdr:to>
    <xdr:cxnSp macro="">
      <xdr:nvCxnSpPr>
        <xdr:cNvPr id="85" name="Straight Arrow Connector 84">
          <a:extLst>
            <a:ext uri="{FF2B5EF4-FFF2-40B4-BE49-F238E27FC236}">
              <a16:creationId xmlns:a16="http://schemas.microsoft.com/office/drawing/2014/main" id="{F1E06A2F-BD8D-41C8-9EC5-CFC4D5859D52}"/>
            </a:ext>
          </a:extLst>
        </xdr:cNvPr>
        <xdr:cNvCxnSpPr/>
      </xdr:nvCxnSpPr>
      <xdr:spPr>
        <a:xfrm>
          <a:off x="9271000" y="9032875"/>
          <a:ext cx="317500"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23813</xdr:colOff>
      <xdr:row>26</xdr:row>
      <xdr:rowOff>254000</xdr:rowOff>
    </xdr:from>
    <xdr:to>
      <xdr:col>18</xdr:col>
      <xdr:colOff>119063</xdr:colOff>
      <xdr:row>26</xdr:row>
      <xdr:rowOff>254000</xdr:rowOff>
    </xdr:to>
    <xdr:cxnSp macro="">
      <xdr:nvCxnSpPr>
        <xdr:cNvPr id="87" name="Straight Arrow Connector 86">
          <a:extLst>
            <a:ext uri="{FF2B5EF4-FFF2-40B4-BE49-F238E27FC236}">
              <a16:creationId xmlns:a16="http://schemas.microsoft.com/office/drawing/2014/main" id="{87120FAC-DCC8-4911-A529-E3DE565A92FB}"/>
            </a:ext>
          </a:extLst>
        </xdr:cNvPr>
        <xdr:cNvCxnSpPr/>
      </xdr:nvCxnSpPr>
      <xdr:spPr>
        <a:xfrm>
          <a:off x="9501188" y="10160000"/>
          <a:ext cx="29368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40323</xdr:colOff>
      <xdr:row>11</xdr:row>
      <xdr:rowOff>284797</xdr:rowOff>
    </xdr:from>
    <xdr:to>
      <xdr:col>13</xdr:col>
      <xdr:colOff>170329</xdr:colOff>
      <xdr:row>11</xdr:row>
      <xdr:rowOff>286871</xdr:rowOff>
    </xdr:to>
    <xdr:cxnSp macro="">
      <xdr:nvCxnSpPr>
        <xdr:cNvPr id="91" name="Straight Arrow Connector 90">
          <a:extLst>
            <a:ext uri="{FF2B5EF4-FFF2-40B4-BE49-F238E27FC236}">
              <a16:creationId xmlns:a16="http://schemas.microsoft.com/office/drawing/2014/main" id="{584CA5A6-14C0-4467-A5A1-9B0E4CCBEA47}"/>
            </a:ext>
          </a:extLst>
        </xdr:cNvPr>
        <xdr:cNvCxnSpPr/>
      </xdr:nvCxnSpPr>
      <xdr:spPr>
        <a:xfrm>
          <a:off x="9327758" y="4507173"/>
          <a:ext cx="327230" cy="2074"/>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87312</xdr:colOff>
      <xdr:row>14</xdr:row>
      <xdr:rowOff>79375</xdr:rowOff>
    </xdr:from>
    <xdr:to>
      <xdr:col>14</xdr:col>
      <xdr:colOff>87312</xdr:colOff>
      <xdr:row>18</xdr:row>
      <xdr:rowOff>158750</xdr:rowOff>
    </xdr:to>
    <xdr:cxnSp macro="">
      <xdr:nvCxnSpPr>
        <xdr:cNvPr id="92" name="Straight Arrow Connector 91">
          <a:extLst>
            <a:ext uri="{FF2B5EF4-FFF2-40B4-BE49-F238E27FC236}">
              <a16:creationId xmlns:a16="http://schemas.microsoft.com/office/drawing/2014/main" id="{922DD366-085D-4D23-AC2D-22BD5E347A84}"/>
            </a:ext>
          </a:extLst>
        </xdr:cNvPr>
        <xdr:cNvCxnSpPr/>
      </xdr:nvCxnSpPr>
      <xdr:spPr>
        <a:xfrm>
          <a:off x="8969375" y="5413375"/>
          <a:ext cx="0" cy="1603375"/>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55563</xdr:colOff>
      <xdr:row>18</xdr:row>
      <xdr:rowOff>269874</xdr:rowOff>
    </xdr:from>
    <xdr:to>
      <xdr:col>15</xdr:col>
      <xdr:colOff>111125</xdr:colOff>
      <xdr:row>18</xdr:row>
      <xdr:rowOff>301625</xdr:rowOff>
    </xdr:to>
    <xdr:cxnSp macro="">
      <xdr:nvCxnSpPr>
        <xdr:cNvPr id="94" name="Straight Arrow Connector 93">
          <a:extLst>
            <a:ext uri="{FF2B5EF4-FFF2-40B4-BE49-F238E27FC236}">
              <a16:creationId xmlns:a16="http://schemas.microsoft.com/office/drawing/2014/main" id="{A8FC61D9-8F95-498D-AE43-BCEBF2E59028}"/>
            </a:ext>
          </a:extLst>
        </xdr:cNvPr>
        <xdr:cNvCxnSpPr/>
      </xdr:nvCxnSpPr>
      <xdr:spPr>
        <a:xfrm>
          <a:off x="8937626" y="7127874"/>
          <a:ext cx="253999" cy="31751"/>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7937</xdr:colOff>
      <xdr:row>22</xdr:row>
      <xdr:rowOff>277812</xdr:rowOff>
    </xdr:from>
    <xdr:to>
      <xdr:col>16</xdr:col>
      <xdr:colOff>87312</xdr:colOff>
      <xdr:row>22</xdr:row>
      <xdr:rowOff>293688</xdr:rowOff>
    </xdr:to>
    <xdr:cxnSp macro="">
      <xdr:nvCxnSpPr>
        <xdr:cNvPr id="97" name="Straight Arrow Connector 96">
          <a:extLst>
            <a:ext uri="{FF2B5EF4-FFF2-40B4-BE49-F238E27FC236}">
              <a16:creationId xmlns:a16="http://schemas.microsoft.com/office/drawing/2014/main" id="{C75E337D-BC91-41CA-AD31-60E348E1856C}"/>
            </a:ext>
          </a:extLst>
        </xdr:cNvPr>
        <xdr:cNvCxnSpPr/>
      </xdr:nvCxnSpPr>
      <xdr:spPr>
        <a:xfrm>
          <a:off x="9088437" y="8659812"/>
          <a:ext cx="277813" cy="15876"/>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87313</xdr:colOff>
      <xdr:row>25</xdr:row>
      <xdr:rowOff>206375</xdr:rowOff>
    </xdr:from>
    <xdr:to>
      <xdr:col>17</xdr:col>
      <xdr:colOff>83344</xdr:colOff>
      <xdr:row>25</xdr:row>
      <xdr:rowOff>277812</xdr:rowOff>
    </xdr:to>
    <xdr:cxnSp macro="">
      <xdr:nvCxnSpPr>
        <xdr:cNvPr id="99" name="Straight Arrow Connector 98">
          <a:extLst>
            <a:ext uri="{FF2B5EF4-FFF2-40B4-BE49-F238E27FC236}">
              <a16:creationId xmlns:a16="http://schemas.microsoft.com/office/drawing/2014/main" id="{E34CC464-7590-4746-AA11-F98C7BA12460}"/>
            </a:ext>
          </a:extLst>
        </xdr:cNvPr>
        <xdr:cNvCxnSpPr>
          <a:endCxn id="28" idx="4"/>
        </xdr:cNvCxnSpPr>
      </xdr:nvCxnSpPr>
      <xdr:spPr>
        <a:xfrm flipV="1">
          <a:off x="9366251" y="9731375"/>
          <a:ext cx="194468" cy="71437"/>
        </a:xfrm>
        <a:prstGeom prst="straightConnector1">
          <a:avLst/>
        </a:prstGeom>
        <a:ln>
          <a:solidFill>
            <a:schemeClr val="accent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topLeftCell="B5" zoomScale="85" zoomScaleNormal="85" zoomScalePageLayoutView="70" workbookViewId="0">
      <selection activeCell="D8" sqref="D8"/>
    </sheetView>
  </sheetViews>
  <sheetFormatPr defaultColWidth="8.59765625" defaultRowHeight="30" customHeight="1" x14ac:dyDescent="0.25"/>
  <cols>
    <col min="1" max="1" width="2.59765625" style="13" customWidth="1"/>
    <col min="2" max="2" width="51.5" bestFit="1" customWidth="1"/>
    <col min="3" max="3" width="23" bestFit="1" customWidth="1"/>
    <col min="4" max="4" width="10.59765625" customWidth="1"/>
    <col min="5" max="5" width="10.59765625" style="2" customWidth="1"/>
    <col min="6" max="6" width="10.59765625" customWidth="1"/>
    <col min="7" max="7" width="2.59765625" customWidth="1"/>
    <col min="8" max="8" width="6" hidden="1" customWidth="1"/>
    <col min="9" max="65" width="2.59765625" customWidth="1"/>
  </cols>
  <sheetData>
    <row r="1" spans="1:64" ht="90" customHeight="1" x14ac:dyDescent="0.6">
      <c r="A1" s="14"/>
      <c r="B1" s="67" t="s">
        <v>28</v>
      </c>
      <c r="C1" s="68"/>
      <c r="D1" s="69"/>
      <c r="E1" s="69"/>
      <c r="F1" s="69"/>
      <c r="G1" s="70"/>
      <c r="H1" s="1"/>
      <c r="I1" s="122" t="s">
        <v>0</v>
      </c>
      <c r="J1" s="123"/>
      <c r="K1" s="123"/>
      <c r="L1" s="123"/>
      <c r="M1" s="123"/>
      <c r="N1" s="123"/>
      <c r="O1" s="123"/>
      <c r="P1" s="20"/>
      <c r="Q1" s="121">
        <v>46065</v>
      </c>
      <c r="R1" s="120"/>
      <c r="S1" s="120"/>
      <c r="T1" s="120"/>
      <c r="U1" s="120"/>
      <c r="V1" s="120"/>
      <c r="W1" s="120"/>
      <c r="X1" s="120"/>
      <c r="Y1" s="120"/>
      <c r="Z1" s="120"/>
    </row>
    <row r="2" spans="1:64" ht="30" customHeight="1" x14ac:dyDescent="0.6">
      <c r="B2" s="58" t="s">
        <v>29</v>
      </c>
      <c r="C2" s="59"/>
      <c r="D2" s="18"/>
      <c r="E2" s="19"/>
      <c r="F2" s="18"/>
      <c r="I2" s="122" t="s">
        <v>1</v>
      </c>
      <c r="J2" s="123"/>
      <c r="K2" s="123"/>
      <c r="L2" s="123"/>
      <c r="M2" s="123"/>
      <c r="N2" s="123"/>
      <c r="O2" s="123"/>
      <c r="P2" s="20"/>
      <c r="Q2" s="119">
        <v>1</v>
      </c>
      <c r="R2" s="120"/>
      <c r="S2" s="120"/>
      <c r="T2" s="120"/>
      <c r="U2" s="120"/>
      <c r="V2" s="120"/>
      <c r="W2" s="120"/>
      <c r="X2" s="120"/>
      <c r="Y2" s="120"/>
      <c r="Z2" s="120"/>
    </row>
    <row r="3" spans="1:64" s="22" customFormat="1" ht="30" customHeight="1" x14ac:dyDescent="0.25">
      <c r="A3" s="13"/>
      <c r="B3" s="21" t="s">
        <v>2</v>
      </c>
      <c r="D3" s="23"/>
      <c r="E3" s="24"/>
    </row>
    <row r="4" spans="1:64" s="22" customFormat="1" ht="30" customHeight="1" x14ac:dyDescent="0.25">
      <c r="A4" s="14"/>
      <c r="B4" s="25" t="s">
        <v>3</v>
      </c>
      <c r="E4" s="26"/>
      <c r="I4" s="126">
        <f>I5</f>
        <v>46062</v>
      </c>
      <c r="J4" s="124"/>
      <c r="K4" s="124"/>
      <c r="L4" s="124"/>
      <c r="M4" s="124"/>
      <c r="N4" s="124"/>
      <c r="O4" s="124"/>
      <c r="P4" s="124">
        <f>P5</f>
        <v>46069</v>
      </c>
      <c r="Q4" s="124"/>
      <c r="R4" s="124"/>
      <c r="S4" s="124"/>
      <c r="T4" s="124"/>
      <c r="U4" s="124"/>
      <c r="V4" s="124"/>
      <c r="W4" s="124">
        <f>W5</f>
        <v>46076</v>
      </c>
      <c r="X4" s="124"/>
      <c r="Y4" s="124"/>
      <c r="Z4" s="124"/>
      <c r="AA4" s="124"/>
      <c r="AB4" s="124"/>
      <c r="AC4" s="124"/>
      <c r="AD4" s="124">
        <f>AD5</f>
        <v>46083</v>
      </c>
      <c r="AE4" s="124"/>
      <c r="AF4" s="124"/>
      <c r="AG4" s="124"/>
      <c r="AH4" s="124"/>
      <c r="AI4" s="124"/>
      <c r="AJ4" s="124"/>
      <c r="AK4" s="124">
        <f>AK5</f>
        <v>46090</v>
      </c>
      <c r="AL4" s="124"/>
      <c r="AM4" s="124"/>
      <c r="AN4" s="124"/>
      <c r="AO4" s="124"/>
      <c r="AP4" s="124"/>
      <c r="AQ4" s="124"/>
      <c r="AR4" s="124">
        <f>AR5</f>
        <v>46097</v>
      </c>
      <c r="AS4" s="124"/>
      <c r="AT4" s="124"/>
      <c r="AU4" s="124"/>
      <c r="AV4" s="124"/>
      <c r="AW4" s="124"/>
      <c r="AX4" s="124"/>
      <c r="AY4" s="124">
        <f>AY5</f>
        <v>46104</v>
      </c>
      <c r="AZ4" s="124"/>
      <c r="BA4" s="124"/>
      <c r="BB4" s="124"/>
      <c r="BC4" s="124"/>
      <c r="BD4" s="124"/>
      <c r="BE4" s="124"/>
      <c r="BF4" s="124">
        <f>BF5</f>
        <v>46111</v>
      </c>
      <c r="BG4" s="124"/>
      <c r="BH4" s="124"/>
      <c r="BI4" s="124"/>
      <c r="BJ4" s="124"/>
      <c r="BK4" s="124"/>
      <c r="BL4" s="125"/>
    </row>
    <row r="5" spans="1:64" s="22" customFormat="1" ht="15" customHeight="1" x14ac:dyDescent="0.25">
      <c r="A5" s="113"/>
      <c r="B5" s="114" t="s">
        <v>4</v>
      </c>
      <c r="C5" s="116" t="s">
        <v>5</v>
      </c>
      <c r="D5" s="118" t="s">
        <v>6</v>
      </c>
      <c r="E5" s="118" t="s">
        <v>7</v>
      </c>
      <c r="F5" s="118" t="s">
        <v>8</v>
      </c>
      <c r="I5" s="27">
        <f>Project_Start-WEEKDAY(Project_Start,1)+2+7*(Display_Week-1)</f>
        <v>46062</v>
      </c>
      <c r="J5" s="27">
        <f>I5+1</f>
        <v>46063</v>
      </c>
      <c r="K5" s="27">
        <f t="shared" ref="K5:AX5" si="0">J5+1</f>
        <v>46064</v>
      </c>
      <c r="L5" s="27">
        <f t="shared" si="0"/>
        <v>46065</v>
      </c>
      <c r="M5" s="27">
        <f t="shared" si="0"/>
        <v>46066</v>
      </c>
      <c r="N5" s="27">
        <f t="shared" si="0"/>
        <v>46067</v>
      </c>
      <c r="O5" s="28">
        <f t="shared" si="0"/>
        <v>46068</v>
      </c>
      <c r="P5" s="29">
        <f>O5+1</f>
        <v>46069</v>
      </c>
      <c r="Q5" s="27">
        <f>P5+1</f>
        <v>46070</v>
      </c>
      <c r="R5" s="27">
        <f t="shared" si="0"/>
        <v>46071</v>
      </c>
      <c r="S5" s="27">
        <f t="shared" si="0"/>
        <v>46072</v>
      </c>
      <c r="T5" s="27">
        <f t="shared" si="0"/>
        <v>46073</v>
      </c>
      <c r="U5" s="27">
        <f t="shared" si="0"/>
        <v>46074</v>
      </c>
      <c r="V5" s="28">
        <f t="shared" si="0"/>
        <v>46075</v>
      </c>
      <c r="W5" s="29">
        <f>V5+1</f>
        <v>46076</v>
      </c>
      <c r="X5" s="27">
        <f>W5+1</f>
        <v>46077</v>
      </c>
      <c r="Y5" s="27">
        <f t="shared" si="0"/>
        <v>46078</v>
      </c>
      <c r="Z5" s="27">
        <f t="shared" si="0"/>
        <v>46079</v>
      </c>
      <c r="AA5" s="27">
        <f t="shared" si="0"/>
        <v>46080</v>
      </c>
      <c r="AB5" s="27">
        <f t="shared" si="0"/>
        <v>46081</v>
      </c>
      <c r="AC5" s="28">
        <f t="shared" si="0"/>
        <v>46082</v>
      </c>
      <c r="AD5" s="29">
        <f>AC5+1</f>
        <v>46083</v>
      </c>
      <c r="AE5" s="27">
        <f>AD5+1</f>
        <v>46084</v>
      </c>
      <c r="AF5" s="27">
        <f t="shared" si="0"/>
        <v>46085</v>
      </c>
      <c r="AG5" s="27">
        <f t="shared" si="0"/>
        <v>46086</v>
      </c>
      <c r="AH5" s="27">
        <f t="shared" si="0"/>
        <v>46087</v>
      </c>
      <c r="AI5" s="27">
        <f t="shared" si="0"/>
        <v>46088</v>
      </c>
      <c r="AJ5" s="28">
        <f t="shared" si="0"/>
        <v>46089</v>
      </c>
      <c r="AK5" s="29">
        <f>AJ5+1</f>
        <v>46090</v>
      </c>
      <c r="AL5" s="27">
        <f>AK5+1</f>
        <v>46091</v>
      </c>
      <c r="AM5" s="27">
        <f t="shared" si="0"/>
        <v>46092</v>
      </c>
      <c r="AN5" s="27">
        <f t="shared" si="0"/>
        <v>46093</v>
      </c>
      <c r="AO5" s="27">
        <f t="shared" si="0"/>
        <v>46094</v>
      </c>
      <c r="AP5" s="27">
        <f t="shared" si="0"/>
        <v>46095</v>
      </c>
      <c r="AQ5" s="28">
        <f t="shared" si="0"/>
        <v>46096</v>
      </c>
      <c r="AR5" s="29">
        <f>AQ5+1</f>
        <v>46097</v>
      </c>
      <c r="AS5" s="27">
        <f>AR5+1</f>
        <v>46098</v>
      </c>
      <c r="AT5" s="27">
        <f t="shared" si="0"/>
        <v>46099</v>
      </c>
      <c r="AU5" s="27">
        <f t="shared" si="0"/>
        <v>46100</v>
      </c>
      <c r="AV5" s="27">
        <f t="shared" si="0"/>
        <v>46101</v>
      </c>
      <c r="AW5" s="27">
        <f t="shared" si="0"/>
        <v>46102</v>
      </c>
      <c r="AX5" s="28">
        <f t="shared" si="0"/>
        <v>46103</v>
      </c>
      <c r="AY5" s="29">
        <f>AX5+1</f>
        <v>46104</v>
      </c>
      <c r="AZ5" s="27">
        <f>AY5+1</f>
        <v>46105</v>
      </c>
      <c r="BA5" s="27">
        <f t="shared" ref="BA5:BE5" si="1">AZ5+1</f>
        <v>46106</v>
      </c>
      <c r="BB5" s="27">
        <f t="shared" si="1"/>
        <v>46107</v>
      </c>
      <c r="BC5" s="27">
        <f t="shared" si="1"/>
        <v>46108</v>
      </c>
      <c r="BD5" s="27">
        <f t="shared" si="1"/>
        <v>46109</v>
      </c>
      <c r="BE5" s="28">
        <f t="shared" si="1"/>
        <v>46110</v>
      </c>
      <c r="BF5" s="29">
        <f>BE5+1</f>
        <v>46111</v>
      </c>
      <c r="BG5" s="27">
        <f>BF5+1</f>
        <v>46112</v>
      </c>
      <c r="BH5" s="27">
        <f t="shared" ref="BH5:BL5" si="2">BG5+1</f>
        <v>46113</v>
      </c>
      <c r="BI5" s="27">
        <f t="shared" si="2"/>
        <v>46114</v>
      </c>
      <c r="BJ5" s="27">
        <f t="shared" si="2"/>
        <v>46115</v>
      </c>
      <c r="BK5" s="27">
        <f t="shared" si="2"/>
        <v>46116</v>
      </c>
      <c r="BL5" s="27">
        <f t="shared" si="2"/>
        <v>46117</v>
      </c>
    </row>
    <row r="6" spans="1:64" s="22" customFormat="1" ht="15" customHeight="1" thickBot="1" x14ac:dyDescent="0.3">
      <c r="A6" s="113"/>
      <c r="B6" s="115"/>
      <c r="C6" s="117"/>
      <c r="D6" s="117"/>
      <c r="E6" s="117"/>
      <c r="F6" s="117"/>
      <c r="I6" s="30" t="str">
        <f t="shared" ref="I6:AN6" si="3">LEFT(TEXT(I5,"ddd"),1)</f>
        <v>M</v>
      </c>
      <c r="J6" s="31" t="str">
        <f t="shared" si="3"/>
        <v>T</v>
      </c>
      <c r="K6" s="31" t="str">
        <f t="shared" si="3"/>
        <v>W</v>
      </c>
      <c r="L6" s="31" t="str">
        <f t="shared" si="3"/>
        <v>T</v>
      </c>
      <c r="M6" s="31" t="str">
        <f t="shared" si="3"/>
        <v>F</v>
      </c>
      <c r="N6" s="31" t="str">
        <f t="shared" si="3"/>
        <v>S</v>
      </c>
      <c r="O6" s="31" t="str">
        <f t="shared" si="3"/>
        <v>S</v>
      </c>
      <c r="P6" s="31" t="str">
        <f t="shared" si="3"/>
        <v>M</v>
      </c>
      <c r="Q6" s="31" t="str">
        <f t="shared" si="3"/>
        <v>T</v>
      </c>
      <c r="R6" s="31" t="str">
        <f t="shared" si="3"/>
        <v>W</v>
      </c>
      <c r="S6" s="31" t="str">
        <f t="shared" si="3"/>
        <v>T</v>
      </c>
      <c r="T6" s="31" t="str">
        <f t="shared" si="3"/>
        <v>F</v>
      </c>
      <c r="U6" s="31" t="str">
        <f t="shared" si="3"/>
        <v>S</v>
      </c>
      <c r="V6" s="31" t="str">
        <f t="shared" si="3"/>
        <v>S</v>
      </c>
      <c r="W6" s="31" t="str">
        <f t="shared" si="3"/>
        <v>M</v>
      </c>
      <c r="X6" s="31" t="str">
        <f t="shared" si="3"/>
        <v>T</v>
      </c>
      <c r="Y6" s="31" t="str">
        <f t="shared" si="3"/>
        <v>W</v>
      </c>
      <c r="Z6" s="31" t="str">
        <f t="shared" si="3"/>
        <v>T</v>
      </c>
      <c r="AA6" s="31" t="str">
        <f t="shared" si="3"/>
        <v>F</v>
      </c>
      <c r="AB6" s="31" t="str">
        <f t="shared" si="3"/>
        <v>S</v>
      </c>
      <c r="AC6" s="31" t="str">
        <f t="shared" si="3"/>
        <v>S</v>
      </c>
      <c r="AD6" s="31" t="str">
        <f t="shared" si="3"/>
        <v>M</v>
      </c>
      <c r="AE6" s="31" t="str">
        <f t="shared" si="3"/>
        <v>T</v>
      </c>
      <c r="AF6" s="31" t="str">
        <f t="shared" si="3"/>
        <v>W</v>
      </c>
      <c r="AG6" s="31" t="str">
        <f t="shared" si="3"/>
        <v>T</v>
      </c>
      <c r="AH6" s="31" t="str">
        <f t="shared" si="3"/>
        <v>F</v>
      </c>
      <c r="AI6" s="31" t="str">
        <f t="shared" si="3"/>
        <v>S</v>
      </c>
      <c r="AJ6" s="31" t="str">
        <f t="shared" si="3"/>
        <v>S</v>
      </c>
      <c r="AK6" s="31" t="str">
        <f t="shared" si="3"/>
        <v>M</v>
      </c>
      <c r="AL6" s="31" t="str">
        <f t="shared" si="3"/>
        <v>T</v>
      </c>
      <c r="AM6" s="31" t="str">
        <f t="shared" si="3"/>
        <v>W</v>
      </c>
      <c r="AN6" s="31" t="str">
        <f t="shared" si="3"/>
        <v>T</v>
      </c>
      <c r="AO6" s="31" t="str">
        <f t="shared" ref="AO6:BL6" si="4">LEFT(TEXT(AO5,"ddd"),1)</f>
        <v>F</v>
      </c>
      <c r="AP6" s="31" t="str">
        <f t="shared" si="4"/>
        <v>S</v>
      </c>
      <c r="AQ6" s="31" t="str">
        <f t="shared" si="4"/>
        <v>S</v>
      </c>
      <c r="AR6" s="31" t="str">
        <f t="shared" si="4"/>
        <v>M</v>
      </c>
      <c r="AS6" s="31" t="str">
        <f t="shared" si="4"/>
        <v>T</v>
      </c>
      <c r="AT6" s="31" t="str">
        <f t="shared" si="4"/>
        <v>W</v>
      </c>
      <c r="AU6" s="31" t="str">
        <f t="shared" si="4"/>
        <v>T</v>
      </c>
      <c r="AV6" s="31" t="str">
        <f t="shared" si="4"/>
        <v>F</v>
      </c>
      <c r="AW6" s="31" t="str">
        <f t="shared" si="4"/>
        <v>S</v>
      </c>
      <c r="AX6" s="31" t="str">
        <f t="shared" si="4"/>
        <v>S</v>
      </c>
      <c r="AY6" s="31" t="str">
        <f t="shared" si="4"/>
        <v>M</v>
      </c>
      <c r="AZ6" s="31" t="str">
        <f t="shared" si="4"/>
        <v>T</v>
      </c>
      <c r="BA6" s="31" t="str">
        <f t="shared" si="4"/>
        <v>W</v>
      </c>
      <c r="BB6" s="31" t="str">
        <f t="shared" si="4"/>
        <v>T</v>
      </c>
      <c r="BC6" s="31" t="str">
        <f t="shared" si="4"/>
        <v>F</v>
      </c>
      <c r="BD6" s="31" t="str">
        <f t="shared" si="4"/>
        <v>S</v>
      </c>
      <c r="BE6" s="31" t="str">
        <f t="shared" si="4"/>
        <v>S</v>
      </c>
      <c r="BF6" s="31" t="str">
        <f t="shared" si="4"/>
        <v>M</v>
      </c>
      <c r="BG6" s="31" t="str">
        <f t="shared" si="4"/>
        <v>T</v>
      </c>
      <c r="BH6" s="31" t="str">
        <f t="shared" si="4"/>
        <v>W</v>
      </c>
      <c r="BI6" s="31" t="str">
        <f t="shared" si="4"/>
        <v>T</v>
      </c>
      <c r="BJ6" s="31" t="str">
        <f t="shared" si="4"/>
        <v>F</v>
      </c>
      <c r="BK6" s="31" t="str">
        <f t="shared" si="4"/>
        <v>S</v>
      </c>
      <c r="BL6" s="32" t="str">
        <f t="shared" si="4"/>
        <v>S</v>
      </c>
    </row>
    <row r="7" spans="1:64" s="22" customFormat="1" ht="30" hidden="1" customHeight="1" thickBot="1" x14ac:dyDescent="0.3">
      <c r="A7" s="13" t="s">
        <v>9</v>
      </c>
      <c r="B7" s="33"/>
      <c r="C7" s="34"/>
      <c r="D7" s="33"/>
      <c r="E7" s="33"/>
      <c r="F7" s="33"/>
      <c r="H7" s="22" t="str">
        <f>IF(OR(ISBLANK(task_start),ISBLANK(task_end)),"",task_end-task_start+1)</f>
        <v/>
      </c>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row>
    <row r="8" spans="1:64" s="39" customFormat="1" ht="30" customHeight="1" thickBot="1" x14ac:dyDescent="0.3">
      <c r="A8" s="14"/>
      <c r="B8" s="36" t="s">
        <v>30</v>
      </c>
      <c r="C8" s="37"/>
      <c r="D8" s="84">
        <f>D9</f>
        <v>1</v>
      </c>
      <c r="E8" s="85">
        <f>Project_Start</f>
        <v>46065</v>
      </c>
      <c r="F8" s="86">
        <f>F9</f>
        <v>46066</v>
      </c>
      <c r="G8" s="17"/>
      <c r="H8" s="5">
        <f t="shared" ref="H8:H31" si="5">IF(OR(ISBLANK(task_start),ISBLANK(task_end)),"",task_end-task_start+1)</f>
        <v>2</v>
      </c>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row>
    <row r="9" spans="1:64" s="39" customFormat="1" ht="30" customHeight="1" thickBot="1" x14ac:dyDescent="0.3">
      <c r="A9" s="14"/>
      <c r="B9" s="40" t="s">
        <v>31</v>
      </c>
      <c r="C9" s="41" t="s">
        <v>34</v>
      </c>
      <c r="D9" s="42">
        <v>1</v>
      </c>
      <c r="E9" s="43">
        <f>Project_Start</f>
        <v>46065</v>
      </c>
      <c r="F9" s="43">
        <f>E9+1</f>
        <v>46066</v>
      </c>
      <c r="G9" s="17"/>
      <c r="H9" s="5">
        <f t="shared" si="5"/>
        <v>2</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9" customFormat="1" ht="30" customHeight="1" thickBot="1" x14ac:dyDescent="0.3">
      <c r="A10" s="14"/>
      <c r="B10" s="71" t="s">
        <v>32</v>
      </c>
      <c r="C10" s="72"/>
      <c r="D10" s="87">
        <f>(D11+D12)/2</f>
        <v>0</v>
      </c>
      <c r="E10" s="88">
        <v>46066</v>
      </c>
      <c r="F10" s="89">
        <f>F12</f>
        <v>46068</v>
      </c>
      <c r="G10" s="17"/>
      <c r="H10" s="5">
        <f t="shared" si="5"/>
        <v>3</v>
      </c>
      <c r="I10" s="44"/>
      <c r="J10" s="44"/>
      <c r="K10" s="44"/>
      <c r="L10" s="44"/>
      <c r="M10" s="72"/>
      <c r="N10" s="72"/>
      <c r="O10" s="72"/>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9" customFormat="1" ht="30" customHeight="1" thickBot="1" x14ac:dyDescent="0.3">
      <c r="A11" s="13"/>
      <c r="B11" s="77" t="s">
        <v>37</v>
      </c>
      <c r="C11" s="78" t="s">
        <v>26</v>
      </c>
      <c r="D11" s="79">
        <v>0</v>
      </c>
      <c r="E11" s="80">
        <f>E10</f>
        <v>46066</v>
      </c>
      <c r="F11" s="80">
        <f>E10</f>
        <v>46066</v>
      </c>
      <c r="G11" s="17"/>
      <c r="H11" s="5">
        <f t="shared" si="5"/>
        <v>1</v>
      </c>
      <c r="I11" s="44"/>
      <c r="J11" s="44"/>
      <c r="K11" s="44"/>
      <c r="L11" s="44"/>
      <c r="M11" s="72"/>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9" customFormat="1" ht="30" customHeight="1" thickBot="1" x14ac:dyDescent="0.3">
      <c r="A12" s="13"/>
      <c r="B12" s="77" t="s">
        <v>33</v>
      </c>
      <c r="C12" s="78" t="s">
        <v>26</v>
      </c>
      <c r="D12" s="79">
        <v>0</v>
      </c>
      <c r="E12" s="80">
        <f>F11+1</f>
        <v>46067</v>
      </c>
      <c r="F12" s="80">
        <f>E12+1</f>
        <v>46068</v>
      </c>
      <c r="G12" s="17"/>
      <c r="H12" s="5">
        <f t="shared" si="5"/>
        <v>2</v>
      </c>
      <c r="I12" s="44"/>
      <c r="J12" s="44"/>
      <c r="K12" s="44"/>
      <c r="L12" s="44"/>
      <c r="M12" s="44"/>
      <c r="N12" s="72"/>
      <c r="O12" s="72"/>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9" customFormat="1" ht="30" customHeight="1" thickBot="1" x14ac:dyDescent="0.3">
      <c r="A13" s="14"/>
      <c r="B13" s="73" t="s">
        <v>35</v>
      </c>
      <c r="C13" s="74"/>
      <c r="D13" s="81">
        <f>(D14+D15)/2</f>
        <v>0</v>
      </c>
      <c r="E13" s="82">
        <f>F12+1</f>
        <v>46069</v>
      </c>
      <c r="F13" s="83">
        <f>F15</f>
        <v>46070</v>
      </c>
      <c r="G13" s="17"/>
      <c r="H13" s="5">
        <f t="shared" si="5"/>
        <v>2</v>
      </c>
    </row>
    <row r="14" spans="1:64" s="39" customFormat="1" ht="30" customHeight="1" thickBot="1" x14ac:dyDescent="0.3">
      <c r="A14" s="14"/>
      <c r="B14" s="105" t="s">
        <v>36</v>
      </c>
      <c r="C14" s="106" t="s">
        <v>24</v>
      </c>
      <c r="D14" s="107">
        <v>0</v>
      </c>
      <c r="E14" s="108">
        <f>E13</f>
        <v>46069</v>
      </c>
      <c r="F14" s="108">
        <f>E14</f>
        <v>46069</v>
      </c>
      <c r="G14" s="17"/>
      <c r="H14" s="5">
        <f t="shared" si="5"/>
        <v>1</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9" customFormat="1" ht="30" customHeight="1" thickBot="1" x14ac:dyDescent="0.3">
      <c r="A15" s="13"/>
      <c r="B15" s="105" t="s">
        <v>38</v>
      </c>
      <c r="C15" s="106" t="s">
        <v>24</v>
      </c>
      <c r="D15" s="107">
        <v>0</v>
      </c>
      <c r="E15" s="108">
        <f>F14</f>
        <v>46069</v>
      </c>
      <c r="F15" s="108">
        <f>E15+1</f>
        <v>46070</v>
      </c>
      <c r="G15" s="17"/>
      <c r="H15" s="5">
        <f t="shared" si="5"/>
        <v>2</v>
      </c>
      <c r="I15" s="44"/>
      <c r="J15" s="44"/>
      <c r="K15" s="44"/>
      <c r="L15" s="44"/>
      <c r="M15" s="44"/>
      <c r="N15" s="44"/>
      <c r="O15" s="44"/>
      <c r="P15" s="44"/>
      <c r="Q15" s="44"/>
      <c r="R15" s="44"/>
      <c r="S15" s="44"/>
      <c r="T15" s="44"/>
      <c r="U15" s="45"/>
      <c r="V15" s="45"/>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9" customFormat="1" ht="30" customHeight="1" thickBot="1" x14ac:dyDescent="0.3">
      <c r="A16" s="13"/>
      <c r="B16" s="75" t="s">
        <v>39</v>
      </c>
      <c r="C16" s="76"/>
      <c r="D16" s="90">
        <f>(D17+D18)/2</f>
        <v>0</v>
      </c>
      <c r="E16" s="91">
        <f>F14</f>
        <v>46069</v>
      </c>
      <c r="F16" s="92">
        <f>F18</f>
        <v>46072</v>
      </c>
      <c r="G16" s="17"/>
      <c r="H16" s="5">
        <f t="shared" si="5"/>
        <v>4</v>
      </c>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9" customFormat="1" ht="30" customHeight="1" thickBot="1" x14ac:dyDescent="0.3">
      <c r="A17" s="13"/>
      <c r="B17" s="48" t="s">
        <v>40</v>
      </c>
      <c r="C17" s="49" t="s">
        <v>27</v>
      </c>
      <c r="D17" s="50">
        <v>0</v>
      </c>
      <c r="E17" s="51">
        <f>E16</f>
        <v>46069</v>
      </c>
      <c r="F17" s="51">
        <f>E17+2</f>
        <v>46071</v>
      </c>
      <c r="G17" s="17"/>
      <c r="H17" s="5">
        <f t="shared" si="5"/>
        <v>3</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row>
    <row r="18" spans="1:64" s="39" customFormat="1" ht="30" customHeight="1" thickBot="1" x14ac:dyDescent="0.3">
      <c r="A18" s="13"/>
      <c r="B18" s="48" t="s">
        <v>41</v>
      </c>
      <c r="C18" s="49" t="s">
        <v>27</v>
      </c>
      <c r="D18" s="50">
        <v>0</v>
      </c>
      <c r="E18" s="51">
        <f>F17</f>
        <v>46071</v>
      </c>
      <c r="F18" s="51">
        <f>E18+1</f>
        <v>46072</v>
      </c>
      <c r="G18" s="17"/>
      <c r="H18" s="5">
        <f t="shared" si="5"/>
        <v>2</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9" customFormat="1" ht="30" customHeight="1" thickBot="1" x14ac:dyDescent="0.3">
      <c r="A19" s="13"/>
      <c r="B19" s="71" t="s">
        <v>42</v>
      </c>
      <c r="C19" s="72"/>
      <c r="D19" s="87">
        <f>(D20+D21)/2</f>
        <v>0</v>
      </c>
      <c r="E19" s="88">
        <f>F18</f>
        <v>46072</v>
      </c>
      <c r="F19" s="89">
        <f>F21</f>
        <v>46073</v>
      </c>
      <c r="G19" s="17"/>
      <c r="H19" s="5">
        <f t="shared" si="5"/>
        <v>2</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9" customFormat="1" ht="30" customHeight="1" thickBot="1" x14ac:dyDescent="0.3">
      <c r="A20" s="13"/>
      <c r="B20" s="77" t="s">
        <v>43</v>
      </c>
      <c r="C20" s="78" t="s">
        <v>26</v>
      </c>
      <c r="D20" s="79">
        <v>0</v>
      </c>
      <c r="E20" s="80">
        <f>E19</f>
        <v>46072</v>
      </c>
      <c r="F20" s="80">
        <f>E20</f>
        <v>46072</v>
      </c>
      <c r="G20" s="17"/>
      <c r="H20" s="5">
        <f t="shared" si="5"/>
        <v>1</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9" customFormat="1" ht="30" customHeight="1" thickBot="1" x14ac:dyDescent="0.3">
      <c r="A21" s="13"/>
      <c r="B21" s="77" t="s">
        <v>44</v>
      </c>
      <c r="C21" s="78" t="s">
        <v>26</v>
      </c>
      <c r="D21" s="79">
        <v>0</v>
      </c>
      <c r="E21" s="80">
        <f>F20</f>
        <v>46072</v>
      </c>
      <c r="F21" s="80">
        <f>E21+1</f>
        <v>46073</v>
      </c>
      <c r="G21" s="17"/>
      <c r="H21" s="5">
        <f t="shared" si="5"/>
        <v>2</v>
      </c>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row>
    <row r="22" spans="1:64" s="39" customFormat="1" ht="30" customHeight="1" thickBot="1" x14ac:dyDescent="0.3">
      <c r="A22" s="13"/>
      <c r="B22" s="36" t="s">
        <v>45</v>
      </c>
      <c r="C22" s="37"/>
      <c r="D22" s="84">
        <f>(D23+D24)/2</f>
        <v>0</v>
      </c>
      <c r="E22" s="85">
        <f>F21</f>
        <v>46073</v>
      </c>
      <c r="F22" s="86">
        <f>F24</f>
        <v>46074</v>
      </c>
      <c r="G22" s="17"/>
      <c r="H22" s="5">
        <f t="shared" si="5"/>
        <v>2</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9" customFormat="1" ht="30" customHeight="1" thickBot="1" x14ac:dyDescent="0.3">
      <c r="A23" s="13"/>
      <c r="B23" s="40" t="s">
        <v>46</v>
      </c>
      <c r="C23" s="41" t="s">
        <v>47</v>
      </c>
      <c r="D23" s="42">
        <v>0</v>
      </c>
      <c r="E23" s="43">
        <f>E22</f>
        <v>46073</v>
      </c>
      <c r="F23" s="43">
        <f>E22</f>
        <v>46073</v>
      </c>
      <c r="G23" s="17"/>
      <c r="H23" s="5">
        <f t="shared" si="5"/>
        <v>1</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9" customFormat="1" ht="30" customHeight="1" thickBot="1" x14ac:dyDescent="0.3">
      <c r="A24" s="13"/>
      <c r="B24" s="97" t="s">
        <v>48</v>
      </c>
      <c r="C24" s="98" t="s">
        <v>27</v>
      </c>
      <c r="D24" s="99">
        <v>0</v>
      </c>
      <c r="E24" s="100">
        <f>F23</f>
        <v>46073</v>
      </c>
      <c r="F24" s="100">
        <f>E24+1</f>
        <v>46074</v>
      </c>
      <c r="G24" s="17"/>
      <c r="H24" s="5">
        <f t="shared" si="5"/>
        <v>2</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9" customFormat="1" ht="30" customHeight="1" thickBot="1" x14ac:dyDescent="0.3">
      <c r="A25" s="13"/>
      <c r="B25" s="36" t="s">
        <v>49</v>
      </c>
      <c r="C25" s="37"/>
      <c r="D25" s="84">
        <v>0</v>
      </c>
      <c r="E25" s="85">
        <f>F22</f>
        <v>46074</v>
      </c>
      <c r="F25" s="86">
        <f>E25+3</f>
        <v>46077</v>
      </c>
      <c r="G25" s="17"/>
      <c r="H25" s="5">
        <f t="shared" si="5"/>
        <v>4</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9" customFormat="1" ht="30" customHeight="1" thickBot="1" x14ac:dyDescent="0.3">
      <c r="A26" s="13"/>
      <c r="B26" s="101" t="s">
        <v>50</v>
      </c>
      <c r="C26" s="102" t="s">
        <v>24</v>
      </c>
      <c r="D26" s="103">
        <v>0</v>
      </c>
      <c r="E26" s="104">
        <f>E25</f>
        <v>46074</v>
      </c>
      <c r="F26" s="104">
        <f>E26+1</f>
        <v>46075</v>
      </c>
      <c r="G26" s="17"/>
      <c r="H26" s="5"/>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9" customFormat="1" ht="30" customHeight="1" thickBot="1" x14ac:dyDescent="0.3">
      <c r="A27" s="13"/>
      <c r="B27" s="97" t="s">
        <v>51</v>
      </c>
      <c r="C27" s="98" t="s">
        <v>27</v>
      </c>
      <c r="D27" s="99">
        <v>0</v>
      </c>
      <c r="E27" s="100">
        <f>F26</f>
        <v>46075</v>
      </c>
      <c r="F27" s="100">
        <f>E27+1</f>
        <v>46076</v>
      </c>
      <c r="G27" s="17"/>
      <c r="H27" s="5"/>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9" customFormat="1" ht="30" customHeight="1" thickBot="1" x14ac:dyDescent="0.3">
      <c r="A28" s="13"/>
      <c r="B28" s="109" t="s">
        <v>52</v>
      </c>
      <c r="C28" s="110" t="s">
        <v>26</v>
      </c>
      <c r="D28" s="111">
        <v>0</v>
      </c>
      <c r="E28" s="112">
        <f>F27</f>
        <v>46076</v>
      </c>
      <c r="F28" s="112">
        <f>E28</f>
        <v>46076</v>
      </c>
      <c r="G28" s="17"/>
      <c r="H28" s="5">
        <f t="shared" si="5"/>
        <v>1</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9" customFormat="1" ht="30" customHeight="1" thickBot="1" x14ac:dyDescent="0.3">
      <c r="A29" s="13"/>
      <c r="B29" s="93" t="s">
        <v>53</v>
      </c>
      <c r="C29" s="94" t="s">
        <v>54</v>
      </c>
      <c r="D29" s="95">
        <v>0</v>
      </c>
      <c r="E29" s="96">
        <f>F26</f>
        <v>46075</v>
      </c>
      <c r="F29" s="96">
        <f>E29+2</f>
        <v>46077</v>
      </c>
      <c r="G29" s="17"/>
      <c r="H29" s="5"/>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row>
    <row r="30" spans="1:64" s="39" customFormat="1" ht="30" customHeight="1" thickBot="1" x14ac:dyDescent="0.3">
      <c r="A30" s="13"/>
      <c r="B30" s="36" t="s">
        <v>25</v>
      </c>
      <c r="C30" s="37"/>
      <c r="D30" s="84">
        <v>0</v>
      </c>
      <c r="E30" s="85">
        <v>46077</v>
      </c>
      <c r="F30" s="86">
        <v>46077</v>
      </c>
      <c r="G30" s="17"/>
      <c r="H30" s="5">
        <f t="shared" si="5"/>
        <v>1</v>
      </c>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row>
    <row r="31" spans="1:64" s="39" customFormat="1" ht="30" customHeight="1" thickBot="1" x14ac:dyDescent="0.3">
      <c r="A31" s="14"/>
      <c r="B31" s="52" t="s">
        <v>10</v>
      </c>
      <c r="C31" s="53"/>
      <c r="D31" s="54"/>
      <c r="E31" s="55"/>
      <c r="F31" s="56"/>
      <c r="G31" s="17"/>
      <c r="H31" s="6" t="str">
        <f t="shared" si="5"/>
        <v/>
      </c>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row>
    <row r="32" spans="1:64" ht="30" customHeight="1" x14ac:dyDescent="0.25">
      <c r="G32" s="3"/>
    </row>
    <row r="33" spans="3:6" ht="30" customHeight="1" x14ac:dyDescent="0.25">
      <c r="C33" s="16"/>
      <c r="F33" s="15"/>
    </row>
    <row r="34" spans="3:6" ht="30" customHeight="1" x14ac:dyDescent="0.25">
      <c r="C34"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9 P10:BL10 I10:L11 N11:BL11 I12:M12 P12:BL12 I13:BL29">
    <cfRule type="expression" dxfId="8" priority="1">
      <formula>AND(TODAY()&gt;=I$5, TODAY()&lt;J$5)</formula>
    </cfRule>
  </conditionalFormatting>
  <conditionalFormatting sqref="I9:BL9 P10:BL10 I10:L11 N11:BL11 I12:M12 P12: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20">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2:BL29">
    <cfRule type="expression" dxfId="1" priority="36">
      <formula>AND(task_start&lt;=I$5,ROUNDDOWN((task_end-task_start+1)*task_progress,0)+task_start-1&gt;=I$5)</formula>
    </cfRule>
    <cfRule type="expression" dxfId="0" priority="37" stopIfTrue="1">
      <formula>AND(task_end&gt;=I$5,task_start&lt;J$5)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E23 E20 E8"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60" t="s">
        <v>2</v>
      </c>
      <c r="B2" s="8"/>
    </row>
    <row r="3" spans="1:2" s="11" customFormat="1" ht="27" customHeight="1" x14ac:dyDescent="0.25">
      <c r="A3" s="61"/>
      <c r="B3" s="12"/>
    </row>
    <row r="4" spans="1:2" s="10" customFormat="1" ht="30" x14ac:dyDescent="0.7">
      <c r="A4" s="62" t="s">
        <v>11</v>
      </c>
    </row>
    <row r="5" spans="1:2" ht="74.25" customHeight="1" x14ac:dyDescent="0.25">
      <c r="A5" s="63" t="s">
        <v>12</v>
      </c>
    </row>
    <row r="6" spans="1:2" ht="26.25" customHeight="1" x14ac:dyDescent="0.25">
      <c r="A6" s="62" t="s">
        <v>13</v>
      </c>
    </row>
    <row r="7" spans="1:2" s="7" customFormat="1" ht="205.05" customHeight="1" x14ac:dyDescent="0.25">
      <c r="A7" s="64" t="s">
        <v>14</v>
      </c>
    </row>
    <row r="8" spans="1:2" s="10" customFormat="1" ht="30" x14ac:dyDescent="0.7">
      <c r="A8" s="62" t="s">
        <v>15</v>
      </c>
    </row>
    <row r="9" spans="1:2" ht="41.4" x14ac:dyDescent="0.25">
      <c r="A9" s="63" t="s">
        <v>16</v>
      </c>
    </row>
    <row r="10" spans="1:2" s="7" customFormat="1" ht="28.05" customHeight="1" x14ac:dyDescent="0.25">
      <c r="A10" s="65" t="s">
        <v>17</v>
      </c>
    </row>
    <row r="11" spans="1:2" s="10" customFormat="1" ht="30" x14ac:dyDescent="0.7">
      <c r="A11" s="62" t="s">
        <v>18</v>
      </c>
    </row>
    <row r="12" spans="1:2" ht="27.6" x14ac:dyDescent="0.25">
      <c r="A12" s="63" t="s">
        <v>19</v>
      </c>
    </row>
    <row r="13" spans="1:2" s="7" customFormat="1" ht="28.05" customHeight="1" x14ac:dyDescent="0.25">
      <c r="A13" s="65" t="s">
        <v>20</v>
      </c>
    </row>
    <row r="14" spans="1:2" s="10" customFormat="1" ht="30" x14ac:dyDescent="0.7">
      <c r="A14" s="62" t="s">
        <v>21</v>
      </c>
    </row>
    <row r="15" spans="1:2" ht="75" customHeight="1" x14ac:dyDescent="0.25">
      <c r="A15" s="63" t="s">
        <v>22</v>
      </c>
    </row>
    <row r="16" spans="1:2" ht="69" x14ac:dyDescent="0.25">
      <c r="A16" s="63" t="s">
        <v>23</v>
      </c>
    </row>
    <row r="17" spans="1:1" x14ac:dyDescent="0.25">
      <c r="A17" s="66"/>
    </row>
    <row r="18" spans="1:1" x14ac:dyDescent="0.25">
      <c r="A18" s="66"/>
    </row>
    <row r="19" spans="1:1" x14ac:dyDescent="0.25">
      <c r="A19" s="66"/>
    </row>
    <row r="20" spans="1:1" x14ac:dyDescent="0.25">
      <c r="A20" s="66"/>
    </row>
    <row r="21" spans="1:1" x14ac:dyDescent="0.25">
      <c r="A21" s="66"/>
    </row>
    <row r="22" spans="1:1" x14ac:dyDescent="0.25">
      <c r="A22" s="66"/>
    </row>
    <row r="23" spans="1:1" x14ac:dyDescent="0.25">
      <c r="A23" s="66"/>
    </row>
    <row r="24" spans="1:1" x14ac:dyDescent="0.25">
      <c r="A24" s="6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Paul Fallon</cp:lastModifiedBy>
  <cp:revision/>
  <dcterms:created xsi:type="dcterms:W3CDTF">2022-03-11T22:41:12Z</dcterms:created>
  <dcterms:modified xsi:type="dcterms:W3CDTF">2026-02-13T17:03:00Z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